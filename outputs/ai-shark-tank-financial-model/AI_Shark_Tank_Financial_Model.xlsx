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9c5abad5b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169bdcc99c400a"/>
    <x:sheet xmlns:r="http://schemas.openxmlformats.org/officeDocument/2006/relationships" name="Assumptions" sheetId="2" r:id="R1d68edf489ff4e5c"/>
    <x:sheet xmlns:r="http://schemas.openxmlformats.org/officeDocument/2006/relationships" name="Forecast" sheetId="3" r:id="Rc07b97d116d945cd"/>
    <x:sheet xmlns:r="http://schemas.openxmlformats.org/officeDocument/2006/relationships" name="Scenarios" sheetId="4" r:id="R35690825b06c4c07"/>
    <x:sheet xmlns:r="http://schemas.openxmlformats.org/officeDocument/2006/relationships" name="Checks" sheetId="5" r:id="R44695fca14c3448e"/>
    <x:sheet xmlns:r="http://schemas.openxmlformats.org/officeDocument/2006/relationships" name="Sources" sheetId="6" r:id="Rb9c967a8b3c94709"/>
  </x:sheets>
</x:workbook>
</file>

<file path=xl/comments1.xml><?xml version="1.0" encoding="utf-8"?>
<x:comments xmlns:x="http://schemas.openxmlformats.org/spreadsheetml/2006/main">
  <x:authors>
    <x:author>tc={8803F378-CF05-9036-5042-04257001897B}</x:author>
    <x:author>tc={FF4BAC35-4C0A-FA2B-033C-8DF15B792BFB}</x:author>
    <x:author>tc={E457D97D-98D8-D78E-9B4B-C09ADD800B9A}</x:author>
    <x:author>tc={02862F08-4EDD-720F-3659-8F3CFE6F5108}</x:author>
    <x:author>tc={7006CA05-3D9A-4AC0-7B0F-8BDB8F9A9198}</x:author>
    <x:author>tc={C0B2E100-95AB-8D05-776E-0E4297710730}</x:author>
    <x:author>tc={801FC0D7-7AC2-521D-EFE4-350BBDEAC706}</x:author>
    <x:author>tc={0F6C7E7A-649F-5281-1CAD-5784E8175C48}</x:author>
    <x:author>tc={74BDAB1B-0621-DFCD-F6E5-053661CF82CD}</x:author>
    <x:author>tc={FAB5B659-678E-BB62-A1AE-5ACD73A851C9}</x:author>
    <x:author>tc={89E642CE-1E93-9E6A-CCD5-B29E218C32DA}</x:author>
    <x:author>tc={446CC8D6-D591-7DDE-244F-B9C60B7BE238}</x:author>
    <x:author>tc={1B78CB2A-A99E-BBF1-4B65-36D317DD5D37}</x:author>
    <x:author>tc={EED6D9E5-03EA-21A3-5607-7F31E94E0C7E}</x:author>
    <x:author>tc={1FB22844-62C9-75F3-4D83-FFC9B877205D}</x:author>
    <x:author>tc={6C1A405B-BCB6-3B01-3B5A-5B02104551E2}</x:author>
    <x:author>tc={678A9F5D-CD1F-3545-4136-3195592D961A}</x:author>
    <x:author>tc={12650266-E5B3-DDC5-EE39-3748FFE1C50F}</x:author>
    <x:author>tc={84E021AB-62C8-04CF-07DF-BC7D3E7AEB27}</x:author>
    <x:author>tc={421C217E-710D-5D60-607D-1F6B751DAFD5}</x:author>
    <x:author>tc={34FDF23B-A589-A22E-96FB-362C5C0E5C58}</x:author>
    <x:author>tc={93C85A10-5F13-F21A-F251-96861DF3573F}</x:author>
    <x:author>tc={22556C15-ACB1-3DD0-286B-6FE820ECB16F}</x:author>
    <x:author>tc={18EA9CB7-FAD8-94C1-14B3-5DCDEFCA2EB8}</x:author>
    <x:author>tc={FB68E676-64C8-B50C-34E9-BF746969F690}</x:author>
    <x:author>tc={7F45B5B2-672C-FBE3-5134-13D8B2297E0C}</x:author>
    <x:author>tc={8834B1EF-900B-D7D3-F114-ACBE63632E53}</x:author>
    <x:author>tc={2895BF95-6008-4346-9817-C3068AC05970}</x:author>
    <x:author>tc={4E639B5F-81E8-B7EB-7112-32426C74F117}</x:author>
    <x:author>tc={156276B9-EE5A-7AE9-C54F-754621FB884E}</x:author>
    <x:author>tc={D53CA7B3-1720-876F-E5AB-28C93CF717C2}</x:author>
    <x:author>tc={1EEEA0C0-BDBF-6AC1-2613-91009535557E}</x:author>
    <x:author>tc={798D9879-1BC9-1F42-49A2-19B47745DB9E}</x:author>
    <x:author>tc={F21C8FF6-A8F3-7F14-6858-8F7F10C5ABA9}</x:author>
    <x:author>tc={179FF93E-1577-2215-C60D-C3B5C1430069}</x:author>
    <x:author>tc={DEAEA3A8-2516-1B35-1802-36068E745EF3}</x:author>
    <x:author>tc={B3FE184C-4834-8745-983C-7BDA053DC5C8}</x:author>
    <x:author>tc={A0BD3E33-534C-DEE8-6331-544E4473E096}</x:author>
    <x:author>tc={2AB586A2-41CB-D720-859A-9BFDCF40F1F6}</x:author>
    <x:author>tc={FD3D2EB1-A232-C70D-6642-3D83240B908C}</x:author>
    <x:author>tc={6A4EDF62-46AC-6188-85A1-2D2C111329A9}</x:author>
    <x:author>tc={7DC223C7-8E1B-B753-2C92-11BA6301A3CE}</x:author>
    <x:author>tc={0C88DE7C-A556-418D-B3A9-834737D16873}</x:author>
    <x:author>tc={505CEB35-3190-3464-D171-9A74100CCBE7}</x:author>
    <x:author>tc={2D8783F6-1F4E-E87F-2EDB-00976942F97E}</x:author>
    <x:author>tc={7B921484-9CAC-52B4-ADEB-124FF7E6C71F}</x:author>
    <x:author>tc={3E6B370C-6D8F-39A5-79BE-7930FD5124CE}</x:author>
    <x:author>tc={7626BE18-2351-8C65-8421-A76565CC5A34}</x:author>
    <x:author>tc={A58E2233-123B-4099-99A3-9F5F00037B58}</x:author>
    <x:author>tc={B8DA123A-9962-A9E6-DAD5-09986D2C6467}</x:author>
    <x:author>tc={925E0516-85E8-E083-1614-9F2AA89FFF14}</x:author>
    <x:author>tc={27D5EAA9-13D8-962C-8382-3D4968D90C27}</x:author>
    <x:author>tc={1C8AE0D5-C602-7E9A-53EE-D0DD23F387C2}</x:author>
    <x:author>tc={E147B255-36E1-4F38-1814-F00CDBF6B6F4}</x:author>
    <x:author>tc={227F64AA-4C6C-2AFF-2406-29A866FDAF76}</x:author>
    <x:author>tc={D4C7C414-A119-59B3-E59D-15E1C7CED6D3}</x:author>
    <x:author>tc={2A5BBFE7-745A-88D5-E4AB-6481D94F179C}</x:author>
    <x:author>tc={43E4BF34-7FCE-20F7-2D22-3026A1D95DF2}</x:author>
    <x:author>tc={2F875D9F-7934-D154-1224-EBE3F1A96975}</x:author>
    <x:author>tc={09AA8BF0-302C-23E3-D435-19A62D8D549B}</x:author>
    <x:author>tc={100843AF-4249-1575-D92D-932BB5952DFB}</x:author>
    <x:author>tc={8DA7DBA7-C0C2-C880-B921-5E39AE43ACAC}</x:author>
    <x:author>tc={016E4D46-2ED0-49A9-95AC-55C6A6EBFFC8}</x:author>
    <x:author>tc={3FA1A1A9-8BEE-1ABE-80AA-5CDEA36ECFD5}</x:author>
    <x:author>tc={C6EFE8D8-E9F4-CD0A-AFB5-2C89F6F1BDCB}</x:author>
    <x:author>tc={EE65A044-D9EB-31C0-725E-460A04962352}</x:author>
    <x:author>tc={EE681505-4FA4-6A5B-C6E7-1F21B2E6986A}</x:author>
    <x:author>tc={6DE85F54-F5FE-1A80-41C2-2178CB01DBBA}</x:author>
    <x:author>tc={195E8595-4069-E297-8CB1-AFCDF45F5A47}</x:author>
    <x:author>tc={F18EF26F-136C-A499-1988-A448B096E4DA}</x:author>
    <x:author>tc={2D812E28-ADB6-F6F0-F1DF-0A381150A622}</x:author>
    <x:author>tc={9C309DBD-A17F-BF76-C972-8F05785C2728}</x:author>
    <x:author>tc={6AD281FF-18CC-D7D6-89C6-C817ABB36727}</x:author>
    <x:author>tc={B51941F0-436C-5CAD-35ED-F12018D53606}</x:author>
    <x:author>tc={67830B12-37EF-6959-96FD-221B20E4ECB3}</x:author>
    <x:author>tc={0086C9A3-EF39-971D-7618-3633559AB57A}</x:author>
    <x:author>tc={86798888-1A8B-97DC-5E91-1497ED6A1FAC}</x:author>
    <x:author>tc={C8D35617-2F72-DC39-05B8-1B0C0D39B8C3}</x:author>
    <x:author>tc={7AF2CB4E-9B9F-B856-9240-C291FCB127FC}</x:author>
    <x:author>tc={D6E79BB6-E8F0-BC8F-D75A-5503165FCC43}</x:author>
    <x:author>tc={B99D299E-A079-0763-26E5-BFC70E39B95E}</x:author>
    <x:author>tc={1E068F17-081E-603E-3AFB-EB1C01ADAFFC}</x:author>
    <x:author>tc={79283A46-BFFF-B41B-FF30-5319BE8EEE09}</x:author>
    <x:author>tc={29CE8D9E-9606-5B83-769A-EC4A5C231B00}</x:author>
    <x:author>tc={79709D0C-5FBC-FFE0-1052-580103B6CFC0}</x:author>
    <x:author>tc={96A6D96D-22CB-0B26-06E8-55D05EC5B295}</x:author>
    <x:author>tc={A3A8C7E5-5BF8-7090-8233-2D1270D49657}</x:author>
  </x:authors>
  <x:commentList>
    <x:comment ref="C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Website visits — month 1; replace with observed data as the beta produces results. As of 2026-07-13.</x:t>
        </x:r>
      </x:text>
    </x:comment>
    <x:comment ref="D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Website visits — month 1; replace with observed data as the beta produces results. As of 2026-07-13.</x:t>
        </x:r>
      </x:text>
    </x:comment>
    <x:comment ref="E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Website visits — month 1; replace with observed data as the beta produces results. As of 2026-07-13.</x:t>
        </x:r>
      </x:text>
    </x:comment>
    <x:comment ref="C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website traffic growth; replace with observed data as the beta produces results. As of 2026-07-13.</x:t>
        </x:r>
      </x:text>
    </x:comment>
    <x:comment ref="D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website traffic growth; replace with observed data as the beta produces results. As of 2026-07-13.</x:t>
        </x:r>
      </x:text>
    </x:comment>
    <x:comment ref="E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website traffic growth; replace with observed data as the beta produces results. As of 2026-07-13.</x:t>
        </x:r>
      </x:text>
    </x:comment>
    <x:comment ref="C9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Visitor-to-signup rate; replace with observed data as the beta produces results. As of 2026-07-13.</x:t>
        </x:r>
      </x:text>
    </x:comment>
    <x:comment ref="D9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Visitor-to-signup rate; replace with observed data as the beta produces results. As of 2026-07-13.</x:t>
        </x:r>
      </x:text>
    </x:comment>
    <x:comment ref="E9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Visitor-to-signup rate; replace with observed data as the beta produces results. As of 2026-07-13.</x:t>
        </x:r>
      </x:text>
    </x:comment>
    <x:comment ref="C1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Signup-to-paid conversion; replace with observed data as the beta produces results. As of 2026-07-13.</x:t>
        </x:r>
      </x:text>
    </x:comment>
    <x:comment ref="D10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Signup-to-paid conversion; replace with observed data as the beta produces results. As of 2026-07-13.</x:t>
        </x:r>
      </x:text>
    </x:comment>
    <x:comment ref="E10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Signup-to-paid conversion; replace with observed data as the beta produces results. As of 2026-07-13.</x:t>
        </x:r>
      </x:text>
    </x:comment>
    <x:comment ref="C1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individual churn; replace with observed data as the beta produces results. As of 2026-07-13.</x:t>
        </x:r>
      </x:text>
    </x:comment>
    <x:comment ref="D1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individual churn; replace with observed data as the beta produces results. As of 2026-07-13.</x:t>
        </x:r>
      </x:text>
    </x:comment>
    <x:comment ref="E1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individual churn; replace with observed data as the beta produces results. As of 2026-07-13.</x:t>
        </x:r>
      </x:text>
    </x:comment>
    <x:comment ref="C1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B2B leads — month 1; replace with observed data as the beta produces results. As of 2026-07-13.</x:t>
        </x:r>
      </x:text>
    </x:comment>
    <x:comment ref="D1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B2B leads — month 1; replace with observed data as the beta produces results. As of 2026-07-13.</x:t>
        </x:r>
      </x:text>
    </x:comment>
    <x:comment ref="E1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B2B leads — month 1; replace with observed data as the beta produces results. As of 2026-07-13.</x:t>
        </x:r>
      </x:text>
    </x:comment>
    <x:comment ref="C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B2B lead growth; replace with observed data as the beta produces results. As of 2026-07-13.</x:t>
        </x:r>
      </x:text>
    </x:comment>
    <x:comment ref="D1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B2B lead growth; replace with observed data as the beta produces results. As of 2026-07-13.</x:t>
        </x:r>
      </x:text>
    </x:comment>
    <x:comment ref="E1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B2B lead growth; replace with observed data as the beta produces results. As of 2026-07-13.</x:t>
        </x:r>
      </x:text>
    </x:comment>
    <x:comment ref="C14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B2B lead close rate; replace with observed data as the beta produces results. As of 2026-07-13.</x:t>
        </x:r>
      </x:text>
    </x:comment>
    <x:comment ref="D14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B2B lead close rate; replace with observed data as the beta produces results. As of 2026-07-13.</x:t>
        </x:r>
      </x:text>
    </x:comment>
    <x:comment ref="E14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B2B lead close rate; replace with observed data as the beta produces results. As of 2026-07-13.</x:t>
        </x:r>
      </x:text>
    </x:comment>
    <x:comment ref="C15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B2B account churn; replace with observed data as the beta produces results. As of 2026-07-13.</x:t>
        </x:r>
      </x:text>
    </x:comment>
    <x:comment ref="D15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B2B account churn; replace with observed data as the beta produces results. As of 2026-07-13.</x:t>
        </x:r>
      </x:text>
    </x:comment>
    <x:comment ref="E15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B2B account churn; replace with observed data as the beta produces results. As of 2026-07-13.</x:t>
        </x:r>
      </x:text>
    </x:comment>
    <x:comment ref="C17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Individual subscription ARPU; replace with observed data as the beta produces results. As of 2026-07-13.</x:t>
        </x:r>
      </x:text>
    </x:comment>
    <x:comment ref="D17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Individual subscription ARPU; replace with observed data as the beta produces results. As of 2026-07-13.</x:t>
        </x:r>
      </x:text>
    </x:comment>
    <x:comment ref="E17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Individual subscription ARPU; replace with observed data as the beta produces results. As of 2026-07-13.</x:t>
        </x:r>
      </x:text>
    </x:comment>
    <x:comment ref="C18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Program / accelerator ARPA; replace with observed data as the beta produces results. As of 2026-07-13.</x:t>
        </x:r>
      </x:text>
    </x:comment>
    <x:comment ref="D18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Program / accelerator ARPA; replace with observed data as the beta produces results. As of 2026-07-13.</x:t>
        </x:r>
      </x:text>
    </x:comment>
    <x:comment ref="E1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Program / accelerator ARPA; replace with observed data as the beta produces results. As of 2026-07-13.</x:t>
        </x:r>
      </x:text>
    </x:comment>
    <x:comment ref="C19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Reports per individual / month; replace with observed data as the beta produces results. As of 2026-07-13.</x:t>
        </x:r>
      </x:text>
    </x:comment>
    <x:comment ref="D1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Reports per individual / month; replace with observed data as the beta produces results. As of 2026-07-13.</x:t>
        </x:r>
      </x:text>
    </x:comment>
    <x:comment ref="E19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Reports per individual / month; replace with observed data as the beta produces results. As of 2026-07-13.</x:t>
        </x:r>
      </x:text>
    </x:comment>
    <x:comment ref="C20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Reports per B2B program / month; replace with observed data as the beta produces results. As of 2026-07-13.</x:t>
        </x:r>
      </x:text>
    </x:comment>
    <x:comment ref="D20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Reports per B2B program / month; replace with observed data as the beta produces results. As of 2026-07-13.</x:t>
        </x:r>
      </x:text>
    </x:comment>
    <x:comment ref="E20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Reports per B2B program / month; replace with observed data as the beta produces results. As of 2026-07-13.</x:t>
        </x:r>
      </x:text>
    </x:comment>
    <x:comment ref="C21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AI processing cost per report; replace with observed data as the beta produces results. As of 2026-07-13.</x:t>
        </x:r>
      </x:text>
    </x:comment>
    <x:comment ref="D21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AI processing cost per report; replace with observed data as the beta produces results. As of 2026-07-13.</x:t>
        </x:r>
      </x:text>
    </x:comment>
    <x:comment ref="E21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AI processing cost per report; replace with observed data as the beta produces results. As of 2026-07-13.</x:t>
        </x:r>
      </x:text>
    </x:comment>
    <x:comment ref="C22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Hosting &amp; storage per active account; replace with observed data as the beta produces results. As of 2026-07-13.</x:t>
        </x:r>
      </x:text>
    </x:comment>
    <x:comment ref="D22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Hosting &amp; storage per active account; replace with observed data as the beta produces results. As of 2026-07-13.</x:t>
        </x:r>
      </x:text>
    </x:comment>
    <x:comment ref="E22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Hosting &amp; storage per active account; replace with observed data as the beta produces results. As of 2026-07-13.</x:t>
        </x:r>
      </x:text>
    </x:comment>
    <x:comment ref="C2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Payment processing rate; replace with observed data as the beta produces results. As of 2026-07-13.</x:t>
        </x:r>
      </x:text>
    </x:comment>
    <x:comment ref="D2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Payment processing rate; replace with observed data as the beta produces results. As of 2026-07-13.</x:t>
        </x:r>
      </x:text>
    </x:comment>
    <x:comment ref="E23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Payment processing rate; replace with observed data as the beta produces results. As of 2026-07-13.</x:t>
        </x:r>
      </x:text>
    </x:comment>
    <x:comment ref="C25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Marketing spend — month 1; replace with observed data as the beta produces results. As of 2026-07-13.</x:t>
        </x:r>
      </x:text>
    </x:comment>
    <x:comment ref="D25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Marketing spend — month 1; replace with observed data as the beta produces results. As of 2026-07-13.</x:t>
        </x:r>
      </x:text>
    </x:comment>
    <x:comment ref="E2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Marketing spend — month 1; replace with observed data as the beta produces results. As of 2026-07-13.</x:t>
        </x:r>
      </x:text>
    </x:comment>
    <x:comment ref="C26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marketing spend growth; replace with observed data as the beta produces results. As of 2026-07-13.</x:t>
        </x:r>
      </x:text>
    </x:comment>
    <x:comment ref="D26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marketing spend growth; replace with observed data as the beta produces results. As of 2026-07-13.</x:t>
        </x:r>
      </x:text>
    </x:comment>
    <x:comment ref="E26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marketing spend growth; replace with observed data as the beta produces results. As of 2026-07-13.</x:t>
        </x:r>
      </x:text>
    </x:comment>
    <x:comment ref="C27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Product / engineering contractor; replace with observed data as the beta produces results. As of 2026-07-13.</x:t>
        </x:r>
      </x:text>
    </x:comment>
    <x:comment ref="D27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Product / engineering contractor; replace with observed data as the beta produces results. As of 2026-07-13.</x:t>
        </x:r>
      </x:text>
    </x:comment>
    <x:comment ref="E27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Product / engineering contractor; replace with observed data as the beta produces results. As of 2026-07-13.</x:t>
        </x:r>
      </x:text>
    </x:comment>
    <x:comment ref="C28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Founder monthly payroll after start; replace with observed data as the beta produces results. As of 2026-07-13.</x:t>
        </x:r>
      </x:text>
    </x:comment>
    <x:comment ref="D28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Founder monthly payroll after start; replace with observed data as the beta produces results. As of 2026-07-13.</x:t>
        </x:r>
      </x:text>
    </x:comment>
    <x:comment ref="E28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Founder monthly payroll after start; replace with observed data as the beta produces results. As of 2026-07-13.</x:t>
        </x:r>
      </x:text>
    </x:comment>
    <x:comment ref="C29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Founder payroll start month; replace with observed data as the beta produces results. As of 2026-07-13.</x:t>
        </x:r>
      </x:text>
    </x:comment>
    <x:comment ref="D29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Founder payroll start month; replace with observed data as the beta produces results. As of 2026-07-13.</x:t>
        </x:r>
      </x:text>
    </x:comment>
    <x:comment ref="E29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Founder payroll start month; replace with observed data as the beta produces results. As of 2026-07-13.</x:t>
        </x:r>
      </x:text>
    </x:comment>
    <x:comment ref="C30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Sales/support monthly payroll; replace with observed data as the beta produces results. As of 2026-07-13.</x:t>
        </x:r>
      </x:text>
    </x:comment>
    <x:comment ref="D30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Sales/support monthly payroll; replace with observed data as the beta produces results. As of 2026-07-13.</x:t>
        </x:r>
      </x:text>
    </x:comment>
    <x:comment ref="E30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Sales/support monthly payroll; replace with observed data as the beta produces results. As of 2026-07-13.</x:t>
        </x:r>
      </x:text>
    </x:comment>
    <x:comment ref="C31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Sales/support start month; replace with observed data as the beta produces results. As of 2026-07-13.</x:t>
        </x:r>
      </x:text>
    </x:comment>
    <x:comment ref="D31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Sales/support start month; replace with observed data as the beta produces results. As of 2026-07-13.</x:t>
        </x:r>
      </x:text>
    </x:comment>
    <x:comment ref="E31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Sales/support start month; replace with observed data as the beta produces results. As of 2026-07-13.</x:t>
        </x:r>
      </x:text>
    </x:comment>
    <x:comment ref="C32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Software tools — month 1; replace with observed data as the beta produces results. As of 2026-07-13.</x:t>
        </x:r>
      </x:text>
    </x:comment>
    <x:comment ref="D32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Software tools — month 1; replace with observed data as the beta produces results. As of 2026-07-13.</x:t>
        </x:r>
      </x:text>
    </x:comment>
    <x:comment ref="E32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Software tools — month 1; replace with observed data as the beta produces results. As of 2026-07-13.</x:t>
        </x:r>
      </x:text>
    </x:comment>
    <x:comment ref="C33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software cost growth; replace with observed data as the beta produces results. As of 2026-07-13.</x:t>
        </x:r>
      </x:text>
    </x:comment>
    <x:comment ref="D33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software cost growth; replace with observed data as the beta produces results. As of 2026-07-13.</x:t>
        </x:r>
      </x:text>
    </x:comment>
    <x:comment ref="E33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Monthly software cost growth; replace with observed data as the beta produces results. As of 2026-07-13.</x:t>
        </x:r>
      </x:text>
    </x:comment>
    <x:comment ref="C34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General &amp; administrative; replace with observed data as the beta produces results. As of 2026-07-13.</x:t>
        </x:r>
      </x:text>
    </x:comment>
    <x:comment ref="D34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General &amp; administrative; replace with observed data as the beta produces results. As of 2026-07-13.</x:t>
        </x:r>
      </x:text>
    </x:comment>
    <x:comment ref="E34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General &amp; administrative; replace with observed data as the beta produces results. As of 2026-07-13.</x:t>
        </x:r>
      </x:text>
    </x:comment>
    <x:comment ref="C35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Starting cash; replace with observed data as the beta produces results. As of 2026-07-13.</x:t>
        </x:r>
      </x:text>
    </x:comment>
    <x:comment ref="D35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Starting cash; replace with observed data as the beta produces results. As of 2026-07-13.</x:t>
        </x:r>
      </x:text>
    </x:comment>
    <x:comment ref="E35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Starting cash; replace with observed data as the beta produces results. As of 2026-07-13.</x:t>
        </x:r>
      </x:text>
    </x:comment>
    <x:comment ref="C36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Planned financing; replace with observed data as the beta produces results. As of 2026-07-13.</x:t>
        </x:r>
      </x:text>
    </x:comment>
    <x:comment ref="D36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Planned financing; replace with observed data as the beta produces results. As of 2026-07-13.</x:t>
        </x:r>
      </x:text>
    </x:comment>
    <x:comment ref="E36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Planned financing; replace with observed data as the beta produces results. As of 2026-07-13.</x:t>
        </x:r>
      </x:text>
    </x:comment>
    <x:comment ref="C37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Financing month; replace with observed data as the beta produces results. As of 2026-07-13.</x:t>
        </x:r>
      </x:text>
    </x:comment>
    <x:comment ref="D37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Financing month; replace with observed data as the beta produces results. As of 2026-07-13.</x:t>
        </x:r>
      </x:text>
    </x:comment>
    <x:comment ref="E37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for AI Shark Tank. Internally estimated for the Financing month; replace with observed data as the beta produces results. As of 2026-07-13.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;[Red](0.0%);-"/>
    <x:numFmt numFmtId="201" formatCode="$#,##0;[Red]($#,##0);-"/>
    <x:numFmt numFmtId="202" formatCode="#,##0;[Red](#,##0);-"/>
    <x:numFmt numFmtId="203" formatCode="0.0"/>
    <x:numFmt numFmtId="204" formatCode="$0.00"/>
    <x:numFmt numFmtId="205" formatCode="mmm-yy"/>
    <x:numFmt numFmtId="206" formatCode="0.000"/>
    <x:numFmt numFmtId="207" formatCode="yyyy-mm-dd"/>
  </x:numFmts>
  <x:fonts count="25">
    <x:font>
      <x:sz val="11"/>
      <x:name val="Carlito"/>
    </x:font>
    <x:font>
      <x:b/>
      <x:sz val="20"/>
      <x:color rgb="FFFFFFFF"/>
      <x:name val="Carlito"/>
    </x:font>
    <x:font>
      <x:i/>
      <x:sz val="10"/>
      <x:color rgb="FFD9E2F2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8000"/>
      <x:name val="Carlito"/>
    </x:font>
    <x:font>
      <x:i/>
      <x:sz val="11"/>
      <x:color rgb="FF667085"/>
      <x:name val="Carlito"/>
    </x:font>
    <x:font>
      <x:sz val="11"/>
      <x:color rgb="FF008000"/>
      <x:name val="Carlito"/>
    </x:font>
    <x:font>
      <x:b/>
      <x:sz val="11"/>
      <x:color rgb="FF14213D"/>
      <x:name val="Carlito"/>
    </x:font>
    <x:font>
      <x:b/>
      <x:sz val="18"/>
      <x:color rgb="FF14213D"/>
      <x:name val="Carlito"/>
    </x:font>
    <x:font>
      <x:sz val="11"/>
      <x:color rgb="FF7A5B00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D9E2F2"/>
      <x:name val="Aptos"/>
    </x:font>
    <x:font>
      <x:b/>
      <x:sz val="10"/>
      <x:name val="Aptos"/>
    </x:font>
    <x:font>
      <x:b/>
      <x:sz val="10"/>
      <x:color rgb="FF008000"/>
      <x:name val="Aptos"/>
    </x:font>
    <x:font>
      <x:b/>
      <x:sz val="10"/>
      <x:color rgb="FF14213D"/>
      <x:name val="Aptos"/>
    </x:font>
    <x:font>
      <x:b/>
      <x:sz val="10"/>
      <x:color rgb="FF0000FF"/>
      <x:name val="Aptos"/>
    </x:font>
    <x:font>
      <x:sz val="10"/>
      <x:color rgb="FF0000FF"/>
      <x:name val="Aptos"/>
    </x:font>
    <x:font>
      <x:i/>
      <x:sz val="10"/>
      <x:color rgb="FF667085"/>
      <x:name val="Aptos"/>
    </x:font>
    <x:font>
      <x:sz val="10"/>
      <x:color rgb="FF008000"/>
      <x:name val="Aptos"/>
    </x:font>
    <x:font>
      <x:sz val="10"/>
      <x:color rgb="FF7A5B00"/>
      <x:name val="Aptos"/>
    </x:font>
    <x:font>
      <x:b/>
      <x:sz val="20"/>
      <x:color rgb="FFFFFFFF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AF2FF"/>
      </x:patternFill>
    </x:fill>
    <x:fill>
      <x:patternFill patternType="solid">
        <x:fgColor rgb="FFFFF6D8"/>
      </x:patternFill>
    </x:fill>
    <x:fill>
      <x:patternFill patternType="solid">
        <x:fgColor rgb="FFDCE5F2"/>
      </x:patternFill>
    </x:fill>
    <x:fill>
      <x:patternFill patternType="solid">
        <x:fgColor rgb="FFE8F7F1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F4B942"/>
      </x:left>
      <x:right style="thin">
        <x:color rgb="FFF4B942"/>
      </x:right>
      <x:top style="thin">
        <x:color rgb="FFF4B942"/>
      </x:top>
      <x:bottom style="thin">
        <x:color rgb="FFF4B942"/>
      </x:bottom>
    </x:border>
    <x:border>
      <x:bottom style="thin">
        <x:color rgb="FFD7DEE8"/>
      </x:bottom>
    </x:border>
    <x:border>
      <x:top style="thin">
        <x:color rgb="FFD7DEE8"/>
      </x:top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</x:borders>
  <x:cellStyleXfs count="1">
    <x:xf numFmtId="0" fontId="0" fillId="0" borderId="0"/>
  </x:cellStyleXfs>
  <x:cellXfs count="2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6" fillId="4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6" fillId="4" borderId="0" xfId="0" applyNumberFormat="1" applyFont="1" applyFill="1" applyBorder="1" applyAlignment="1">
      <x:alignment horizontal="right"/>
    </x:xf>
    <x:xf numFmtId="0" fontId="7" fillId="6" borderId="0" xfId="0" applyNumberFormat="1" applyFont="1" applyFill="1" applyBorder="1" applyAlignment="1">
      <x:alignment horizontal="right"/>
    </x:xf>
    <x:xf numFmtId="0" fontId="5" fillId="2" borderId="0" xfId="0" applyNumberFormat="1" applyFont="1" applyFill="1" applyBorder="1" applyAlignment="1">
      <x:alignment horizontal="right"/>
    </x:xf>
    <x:xf numFmtId="200" fontId="6" fillId="4" borderId="0" xfId="0" applyNumberFormat="1" applyFont="1" applyFill="1" applyBorder="1" applyAlignment="1">
      <x:alignment horizontal="right"/>
    </x:xf>
    <x:xf numFmtId="200" fontId="7" fillId="6" borderId="0" xfId="0" applyNumberFormat="1" applyFont="1" applyFill="1" applyBorder="1" applyAlignment="1">
      <x:alignment horizontal="right"/>
    </x:xf>
    <x:xf numFmtId="201" fontId="6" fillId="4" borderId="0" xfId="0" applyNumberFormat="1" applyFont="1" applyFill="1" applyBorder="1" applyAlignment="1">
      <x:alignment horizontal="right"/>
    </x:xf>
    <x:xf numFmtId="201" fontId="7" fillId="6" borderId="0" xfId="0" applyNumberFormat="1" applyFont="1" applyFill="1" applyBorder="1" applyAlignment="1">
      <x:alignment horizontal="right"/>
    </x:xf>
    <x:xf numFmtId="202" fontId="6" fillId="4" borderId="0" xfId="0" applyNumberFormat="1" applyFont="1" applyFill="1" applyBorder="1" applyAlignment="1">
      <x:alignment horizontal="right"/>
    </x:xf>
    <x:xf numFmtId="202" fontId="7" fillId="6" borderId="0" xfId="0" applyNumberFormat="1" applyFont="1" applyFill="1" applyBorder="1" applyAlignment="1">
      <x:alignment horizontal="right"/>
    </x:xf>
    <x:xf numFmtId="203" fontId="6" fillId="4" borderId="0" xfId="0" applyNumberFormat="1" applyFont="1" applyFill="1" applyBorder="1" applyAlignment="1">
      <x:alignment horizontal="right"/>
    </x:xf>
    <x:xf numFmtId="203" fontId="7" fillId="6" borderId="0" xfId="0" applyNumberFormat="1" applyFont="1" applyFill="1" applyBorder="1" applyAlignment="1">
      <x:alignment horizontal="right"/>
    </x:xf>
    <x:xf numFmtId="204" fontId="6" fillId="4" borderId="0" xfId="0" applyNumberFormat="1" applyFont="1" applyFill="1" applyBorder="1" applyAlignment="1">
      <x:alignment horizontal="right"/>
    </x:xf>
    <x:xf numFmtId="204" fontId="7" fillId="6" borderId="0" xfId="0" applyNumberFormat="1" applyFont="1" applyFill="1" applyBorder="1" applyAlignment="1">
      <x:alignment horizontal="right"/>
    </x:xf>
    <x:xf numFmtId="205" fontId="3" fillId="5" borderId="2" xfId="0" applyNumberFormat="1" applyFont="1" applyFill="1" applyBorder="1"/>
    <x:xf numFmtId="205" fontId="3" fillId="5" borderId="2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/>
    </x:xf>
    <x:xf numFmtId="0" fontId="5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 applyAlignment="1">
      <x:alignment horizontal="right"/>
    </x:xf>
    <x:xf numFmtId="202" fontId="9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 applyAlignment="1">
      <x:alignment horizontal="right"/>
    </x:xf>
    <x:xf numFmtId="201" fontId="9" fillId="0" borderId="0" xfId="0" applyNumberFormat="1" applyFont="1" applyFill="1" applyBorder="1" applyAlignment="1">
      <x:alignment horizontal="right"/>
    </x:xf>
    <x:xf numFmtId="203" fontId="9" fillId="0" borderId="0" xfId="0" applyNumberFormat="1" applyFont="1" applyFill="1" applyBorder="1" applyAlignment="1">
      <x:alignment horizontal="right"/>
    </x:xf>
    <x:xf numFmtId="204" fontId="9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horizontal="right"/>
    </x:xf>
    <x:xf numFmtId="0" fontId="3" fillId="0" borderId="3" xfId="0" applyNumberFormat="1" applyFont="1" applyFill="1" applyBorder="1"/>
    <x:xf numFmtId="202" fontId="3" fillId="0" borderId="3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1" fontId="3" fillId="0" borderId="3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horizontal="right"/>
    </x:xf>
    <x:xf numFmtId="200" fontId="3" fillId="0" borderId="3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7" fillId="7" borderId="5" xfId="0" applyNumberFormat="1" applyFont="1" applyFill="1" applyBorder="1"/>
    <x:xf numFmtId="0" fontId="0" fillId="8" borderId="0" xfId="0" applyNumberFormat="1" applyFont="1" applyFill="1" applyBorder="1"/>
    <x:xf numFmtId="0" fontId="0" fillId="8" borderId="7" xfId="0" applyNumberFormat="1" applyFont="1" applyFill="1" applyBorder="1"/>
    <x:xf numFmtId="0" fontId="0" fillId="8" borderId="3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2" xfId="0" applyNumberFormat="1" applyFont="1" applyFill="1" applyBorder="1"/>
    <x:xf numFmtId="0" fontId="0" fillId="8" borderId="12" xfId="0" applyNumberFormat="1" applyFont="1" applyFill="1" applyBorder="1"/>
    <x:xf numFmtId="0" fontId="0" fillId="3" borderId="7" xfId="0" applyNumberFormat="1" applyFont="1" applyFill="1" applyBorder="1"/>
    <x:xf numFmtId="0" fontId="10" fillId="3" borderId="7" xfId="0" applyNumberFormat="1" applyFont="1" applyFill="1" applyBorder="1"/>
    <x:xf numFmtId="0" fontId="11" fillId="8" borderId="9" xfId="0" applyNumberFormat="1" applyFont="1" applyFill="1" applyBorder="1"/>
    <x:xf numFmtId="201" fontId="11" fillId="8" borderId="9" xfId="0" applyNumberFormat="1" applyFont="1" applyFill="1" applyBorder="1"/>
    <x:xf numFmtId="201" fontId="11" fillId="8" borderId="9" xfId="0" applyNumberFormat="1" applyFont="1" applyFill="1" applyBorder="1" applyAlignment="1">
      <x:alignment horizontal="center"/>
    </x:xf>
    <x:xf numFmtId="201" fontId="11" fillId="8" borderId="9" xfId="0" applyNumberFormat="1" applyFont="1" applyFill="1" applyBorder="1" applyAlignment="1">
      <x:alignment horizontal="center" vertical="center"/>
    </x:xf>
    <x:xf numFmtId="200" fontId="11" fillId="8" borderId="9" xfId="0" applyNumberFormat="1" applyFont="1" applyFill="1" applyBorder="1"/>
    <x:xf numFmtId="200" fontId="11" fillId="8" borderId="9" xfId="0" applyNumberFormat="1" applyFont="1" applyFill="1" applyBorder="1" applyAlignment="1">
      <x:alignment horizontal="center"/>
    </x:xf>
    <x:xf numFmtId="200" fontId="11" fillId="8" borderId="9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3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205" fontId="3" fillId="7" borderId="0" xfId="0" applyNumberFormat="1" applyFont="1" applyFill="1" applyBorder="1"/>
    <x:xf numFmtId="0" fontId="0" fillId="0" borderId="12" xfId="0" applyNumberFormat="1" applyFont="1" applyFill="1" applyBorder="1"/>
    <x:xf numFmtId="201" fontId="0" fillId="0" borderId="13" xfId="0" applyNumberFormat="1" applyFont="1" applyFill="1" applyBorder="1"/>
    <x:xf numFmtId="201" fontId="0" fillId="0" borderId="11" xfId="0" applyNumberFormat="1" applyFont="1" applyFill="1" applyBorder="1"/>
    <x:xf numFmtId="0" fontId="0" fillId="0" borderId="6" xfId="0" applyNumberFormat="1" applyFont="1" applyFill="1" applyBorder="1"/>
    <x:xf numFmtId="201" fontId="0" fillId="0" borderId="14" xfId="0" applyNumberFormat="1" applyFont="1" applyFill="1" applyBorder="1"/>
    <x:xf numFmtId="201" fontId="0" fillId="0" borderId="4" xfId="0" applyNumberFormat="1" applyFont="1" applyFill="1" applyBorder="1"/>
    <x:xf numFmtId="0" fontId="0" fillId="0" borderId="8" xfId="0" applyNumberFormat="1" applyFont="1" applyFill="1" applyBorder="1"/>
    <x:xf numFmtId="201" fontId="0" fillId="0" borderId="15" xfId="0" applyNumberFormat="1" applyFont="1" applyFill="1" applyBorder="1"/>
    <x:xf numFmtId="201" fontId="0" fillId="0" borderId="7" xfId="0" applyNumberFormat="1" applyFont="1" applyFill="1" applyBorder="1"/>
    <x:xf numFmtId="0" fontId="0" fillId="3" borderId="6" xfId="0" applyNumberFormat="1" applyFont="1" applyFill="1" applyBorder="1"/>
    <x:xf numFmtId="201" fontId="0" fillId="3" borderId="14" xfId="0" applyNumberFormat="1" applyFont="1" applyFill="1" applyBorder="1"/>
    <x:xf numFmtId="201" fontId="0" fillId="3" borderId="4" xfId="0" applyNumberFormat="1" applyFont="1" applyFill="1" applyBorder="1"/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0" fontId="3" fillId="6" borderId="6" xfId="0" applyNumberFormat="1" applyFont="1" applyFill="1" applyBorder="1"/>
    <x:xf numFmtId="20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5" fillId="2" borderId="0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/>
    <x:xf numFmtId="0" fontId="16" fillId="7" borderId="4" xfId="0" applyNumberFormat="1" applyFont="1" applyFill="1" applyBorder="1"/>
    <x:xf numFmtId="0" fontId="17" fillId="7" borderId="5" xfId="0" applyNumberFormat="1" applyFont="1" applyFill="1" applyBorder="1"/>
    <x:xf numFmtId="0" fontId="16" fillId="7" borderId="5" xfId="0" applyNumberFormat="1" applyFont="1" applyFill="1" applyBorder="1"/>
    <x:xf numFmtId="0" fontId="16" fillId="7" borderId="6" xfId="0" applyNumberFormat="1" applyFont="1" applyFill="1" applyBorder="1"/>
    <x:xf numFmtId="0" fontId="18" fillId="3" borderId="7" xfId="0" applyNumberFormat="1" applyFont="1" applyFill="1" applyBorder="1"/>
    <x:xf numFmtId="0" fontId="14" fillId="8" borderId="3" xfId="0" applyNumberFormat="1" applyFont="1" applyFill="1" applyBorder="1"/>
    <x:xf numFmtId="0" fontId="14" fillId="8" borderId="8" xfId="0" applyNumberFormat="1" applyFont="1" applyFill="1" applyBorder="1"/>
    <x:xf numFmtId="201" fontId="18" fillId="8" borderId="9" xfId="0" applyNumberFormat="1" applyFont="1" applyFill="1" applyBorder="1" applyAlignment="1">
      <x:alignment horizontal="center" vertical="center"/>
    </x:xf>
    <x:xf numFmtId="0" fontId="14" fillId="8" borderId="0" xfId="0" applyNumberFormat="1" applyFont="1" applyFill="1" applyBorder="1"/>
    <x:xf numFmtId="0" fontId="14" fillId="8" borderId="10" xfId="0" applyNumberFormat="1" applyFont="1" applyFill="1" applyBorder="1"/>
    <x:xf numFmtId="0" fontId="14" fillId="8" borderId="9" xfId="0" applyNumberFormat="1" applyFont="1" applyFill="1" applyBorder="1"/>
    <x:xf numFmtId="0" fontId="14" fillId="8" borderId="11" xfId="0" applyNumberFormat="1" applyFont="1" applyFill="1" applyBorder="1"/>
    <x:xf numFmtId="0" fontId="14" fillId="8" borderId="2" xfId="0" applyNumberFormat="1" applyFont="1" applyFill="1" applyBorder="1"/>
    <x:xf numFmtId="0" fontId="14" fillId="8" borderId="12" xfId="0" applyNumberFormat="1" applyFont="1" applyFill="1" applyBorder="1"/>
    <x:xf numFmtId="200" fontId="18" fillId="8" borderId="9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/>
    <x:xf numFmtId="0" fontId="16" fillId="5" borderId="0" xfId="0" applyNumberFormat="1" applyFont="1" applyFill="1" applyBorder="1"/>
    <x:xf numFmtId="0" fontId="16" fillId="0" borderId="3" xfId="0" applyNumberFormat="1" applyFont="1" applyFill="1" applyBorder="1"/>
    <x:xf numFmtId="201" fontId="16" fillId="0" borderId="3" xfId="0" applyNumberFormat="1" applyFont="1" applyFill="1" applyBorder="1"/>
    <x:xf numFmtId="200" fontId="14" fillId="0" borderId="0" xfId="0" applyNumberFormat="1" applyFont="1" applyFill="1" applyBorder="1"/>
    <x:xf numFmtId="202" fontId="14" fillId="0" borderId="0" xfId="0" applyNumberFormat="1" applyFont="1" applyFill="1" applyBorder="1"/>
    <x:xf numFmtId="205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201" fontId="14" fillId="0" borderId="0" xfId="0" applyNumberFormat="1" applyFont="1" applyFill="1" applyBorder="1" applyAlignment="1">
      <x:alignment vertical="center"/>
    </x:xf>
    <x:xf numFmtId="0" fontId="16" fillId="7" borderId="4" xfId="0" applyNumberFormat="1" applyFont="1" applyFill="1" applyBorder="1" applyAlignment="1">
      <x:alignment vertical="center"/>
    </x:xf>
    <x:xf numFmtId="0" fontId="17" fillId="7" borderId="5" xfId="0" applyNumberFormat="1" applyFont="1" applyFill="1" applyBorder="1" applyAlignment="1">
      <x:alignment vertical="center"/>
    </x:xf>
    <x:xf numFmtId="0" fontId="16" fillId="7" borderId="5" xfId="0" applyNumberFormat="1" applyFont="1" applyFill="1" applyBorder="1" applyAlignment="1">
      <x:alignment vertical="center"/>
    </x:xf>
    <x:xf numFmtId="0" fontId="16" fillId="7" borderId="6" xfId="0" applyNumberFormat="1" applyFont="1" applyFill="1" applyBorder="1" applyAlignment="1">
      <x:alignment vertical="center"/>
    </x:xf>
    <x:xf numFmtId="0" fontId="18" fillId="3" borderId="7" xfId="0" applyNumberFormat="1" applyFont="1" applyFill="1" applyBorder="1" applyAlignment="1">
      <x:alignment vertical="center"/>
    </x:xf>
    <x:xf numFmtId="0" fontId="14" fillId="8" borderId="3" xfId="0" applyNumberFormat="1" applyFont="1" applyFill="1" applyBorder="1" applyAlignment="1">
      <x:alignment vertical="center"/>
    </x:xf>
    <x:xf numFmtId="0" fontId="14" fillId="8" borderId="8" xfId="0" applyNumberFormat="1" applyFont="1" applyFill="1" applyBorder="1" applyAlignment="1">
      <x:alignment vertical="center"/>
    </x:xf>
    <x:xf numFmtId="0" fontId="14" fillId="8" borderId="0" xfId="0" applyNumberFormat="1" applyFont="1" applyFill="1" applyBorder="1" applyAlignment="1">
      <x:alignment vertical="center"/>
    </x:xf>
    <x:xf numFmtId="0" fontId="14" fillId="8" borderId="10" xfId="0" applyNumberFormat="1" applyFont="1" applyFill="1" applyBorder="1" applyAlignment="1">
      <x:alignment vertical="center"/>
    </x:xf>
    <x:xf numFmtId="0" fontId="14" fillId="8" borderId="9" xfId="0" applyNumberFormat="1" applyFont="1" applyFill="1" applyBorder="1" applyAlignment="1">
      <x:alignment vertical="center"/>
    </x:xf>
    <x:xf numFmtId="0" fontId="14" fillId="8" borderId="11" xfId="0" applyNumberFormat="1" applyFont="1" applyFill="1" applyBorder="1" applyAlignment="1">
      <x:alignment vertical="center"/>
    </x:xf>
    <x:xf numFmtId="0" fontId="14" fillId="8" borderId="2" xfId="0" applyNumberFormat="1" applyFont="1" applyFill="1" applyBorder="1" applyAlignment="1">
      <x:alignment vertical="center"/>
    </x:xf>
    <x:xf numFmtId="0" fontId="14" fillId="8" borderId="12" xfId="0" applyNumberFormat="1" applyFont="1" applyFill="1" applyBorder="1" applyAlignment="1">
      <x:alignment vertical="center"/>
    </x:xf>
    <x:xf numFmtId="0" fontId="16" fillId="5" borderId="0" xfId="0" applyNumberFormat="1" applyFont="1" applyFill="1" applyBorder="1" applyAlignment="1">
      <x:alignment vertical="center"/>
    </x:xf>
    <x:xf numFmtId="0" fontId="16" fillId="0" borderId="3" xfId="0" applyNumberFormat="1" applyFont="1" applyFill="1" applyBorder="1" applyAlignment="1">
      <x:alignment vertical="center"/>
    </x:xf>
    <x:xf numFmtId="201" fontId="16" fillId="0" borderId="3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202" fontId="14" fillId="0" borderId="0" xfId="0" applyNumberFormat="1" applyFont="1" applyFill="1" applyBorder="1" applyAlignment="1">
      <x:alignment vertical="center"/>
    </x:xf>
    <x:xf numFmtId="205" fontId="14" fillId="0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/>
    <x:xf numFmtId="0" fontId="19" fillId="4" borderId="1" xfId="0" applyNumberFormat="1" applyFont="1" applyFill="1" applyBorder="1" applyAlignment="1">
      <x:alignment horizontal="center"/>
    </x:xf>
    <x:xf numFmtId="0" fontId="16" fillId="5" borderId="2" xfId="0" applyNumberFormat="1" applyFont="1" applyFill="1" applyBorder="1"/>
    <x:xf numFmtId="202" fontId="20" fillId="4" borderId="0" xfId="0" applyNumberFormat="1" applyFont="1" applyFill="1" applyBorder="1" applyAlignment="1">
      <x:alignment horizontal="right"/>
    </x:xf>
    <x:xf numFmtId="202" fontId="17" fillId="6" borderId="0" xfId="0" applyNumberFormat="1" applyFont="1" applyFill="1" applyBorder="1" applyAlignment="1">
      <x:alignment horizontal="right"/>
    </x:xf>
    <x:xf numFmtId="200" fontId="20" fillId="4" borderId="0" xfId="0" applyNumberFormat="1" applyFont="1" applyFill="1" applyBorder="1" applyAlignment="1">
      <x:alignment horizontal="right"/>
    </x:xf>
    <x:xf numFmtId="200" fontId="17" fillId="6" borderId="0" xfId="0" applyNumberFormat="1" applyFont="1" applyFill="1" applyBorder="1" applyAlignment="1">
      <x:alignment horizontal="right"/>
    </x:xf>
    <x:xf numFmtId="0" fontId="13" fillId="2" borderId="0" xfId="0" applyNumberFormat="1" applyFont="1" applyFill="1" applyBorder="1" applyAlignment="1">
      <x:alignment horizontal="right"/>
    </x:xf>
    <x:xf numFmtId="201" fontId="20" fillId="4" borderId="0" xfId="0" applyNumberFormat="1" applyFont="1" applyFill="1" applyBorder="1" applyAlignment="1">
      <x:alignment horizontal="right"/>
    </x:xf>
    <x:xf numFmtId="201" fontId="17" fillId="6" borderId="0" xfId="0" applyNumberFormat="1" applyFont="1" applyFill="1" applyBorder="1" applyAlignment="1">
      <x:alignment horizontal="right"/>
    </x:xf>
    <x:xf numFmtId="203" fontId="20" fillId="4" borderId="0" xfId="0" applyNumberFormat="1" applyFont="1" applyFill="1" applyBorder="1" applyAlignment="1">
      <x:alignment horizontal="right"/>
    </x:xf>
    <x:xf numFmtId="203" fontId="17" fillId="6" borderId="0" xfId="0" applyNumberFormat="1" applyFont="1" applyFill="1" applyBorder="1" applyAlignment="1">
      <x:alignment horizontal="right"/>
    </x:xf>
    <x:xf numFmtId="204" fontId="20" fillId="4" borderId="0" xfId="0" applyNumberFormat="1" applyFont="1" applyFill="1" applyBorder="1" applyAlignment="1">
      <x:alignment horizontal="right"/>
    </x:xf>
    <x:xf numFmtId="204" fontId="17" fillId="6" borderId="0" xfId="0" applyNumberFormat="1" applyFont="1" applyFill="1" applyBorder="1" applyAlignment="1">
      <x:alignment horizontal="right"/>
    </x:xf>
    <x:xf numFmtId="0" fontId="16" fillId="3" borderId="0" xfId="0" applyNumberFormat="1" applyFont="1" applyFill="1" applyBorder="1" applyAlignment="1">
      <x:alignment vertical="center"/>
    </x:xf>
    <x:xf numFmtId="0" fontId="19" fillId="4" borderId="1" xfId="0" applyNumberFormat="1" applyFont="1" applyFill="1" applyBorder="1" applyAlignment="1">
      <x:alignment horizontal="center" vertical="center"/>
    </x:xf>
    <x:xf numFmtId="0" fontId="16" fillId="5" borderId="2" xfId="0" applyNumberFormat="1" applyFont="1" applyFill="1" applyBorder="1" applyAlignment="1">
      <x:alignment vertical="center"/>
    </x:xf>
    <x:xf numFmtId="202" fontId="20" fillId="4" borderId="0" xfId="0" applyNumberFormat="1" applyFont="1" applyFill="1" applyBorder="1" applyAlignment="1">
      <x:alignment horizontal="right" vertical="center"/>
    </x:xf>
    <x:xf numFmtId="202" fontId="17" fillId="6" borderId="0" xfId="0" applyNumberFormat="1" applyFont="1" applyFill="1" applyBorder="1" applyAlignment="1">
      <x:alignment horizontal="right" vertical="center"/>
    </x:xf>
    <x:xf numFmtId="200" fontId="20" fillId="4" borderId="0" xfId="0" applyNumberFormat="1" applyFont="1" applyFill="1" applyBorder="1" applyAlignment="1">
      <x:alignment horizontal="right" vertical="center"/>
    </x:xf>
    <x:xf numFmtId="200" fontId="17" fillId="6" borderId="0" xfId="0" applyNumberFormat="1" applyFont="1" applyFill="1" applyBorder="1" applyAlignment="1">
      <x:alignment horizontal="right" vertical="center"/>
    </x:xf>
    <x:xf numFmtId="0" fontId="13" fillId="2" borderId="0" xfId="0" applyNumberFormat="1" applyFont="1" applyFill="1" applyBorder="1" applyAlignment="1">
      <x:alignment horizontal="right" vertical="center"/>
    </x:xf>
    <x:xf numFmtId="201" fontId="20" fillId="4" borderId="0" xfId="0" applyNumberFormat="1" applyFont="1" applyFill="1" applyBorder="1" applyAlignment="1">
      <x:alignment horizontal="right" vertical="center"/>
    </x:xf>
    <x:xf numFmtId="201" fontId="17" fillId="6" borderId="0" xfId="0" applyNumberFormat="1" applyFont="1" applyFill="1" applyBorder="1" applyAlignment="1">
      <x:alignment horizontal="right" vertical="center"/>
    </x:xf>
    <x:xf numFmtId="203" fontId="20" fillId="4" borderId="0" xfId="0" applyNumberFormat="1" applyFont="1" applyFill="1" applyBorder="1" applyAlignment="1">
      <x:alignment horizontal="right" vertical="center"/>
    </x:xf>
    <x:xf numFmtId="203" fontId="17" fillId="6" borderId="0" xfId="0" applyNumberFormat="1" applyFont="1" applyFill="1" applyBorder="1" applyAlignment="1">
      <x:alignment horizontal="right" vertical="center"/>
    </x:xf>
    <x:xf numFmtId="204" fontId="20" fillId="4" borderId="0" xfId="0" applyNumberFormat="1" applyFont="1" applyFill="1" applyBorder="1" applyAlignment="1">
      <x:alignment horizontal="right" vertical="center"/>
    </x:xf>
    <x:xf numFmtId="204" fontId="17" fillId="6" borderId="0" xfId="0" applyNumberFormat="1" applyFont="1" applyFill="1" applyBorder="1" applyAlignment="1">
      <x:alignment horizontal="right" vertical="center"/>
    </x:xf>
    <x:xf numFmtId="205" fontId="16" fillId="5" borderId="2" xfId="0" applyNumberFormat="1" applyFont="1" applyFill="1" applyBorder="1" applyAlignment="1">
      <x:alignment horizontal="right"/>
    </x:xf>
    <x:xf numFmtId="202" fontId="21" fillId="0" borderId="0" xfId="0" applyNumberFormat="1" applyFont="1" applyFill="1" applyBorder="1"/>
    <x:xf numFmtId="202" fontId="22" fillId="0" borderId="0" xfId="0" applyNumberFormat="1" applyFont="1" applyFill="1" applyBorder="1" applyAlignment="1">
      <x:alignment horizontal="right"/>
    </x:xf>
    <x:xf numFmtId="200" fontId="22" fillId="0" borderId="0" xfId="0" applyNumberFormat="1" applyFont="1" applyFill="1" applyBorder="1" applyAlignment="1">
      <x:alignment horizontal="right"/>
    </x:xf>
    <x:xf numFmtId="202" fontId="14" fillId="0" borderId="0" xfId="0" applyNumberFormat="1" applyFont="1" applyFill="1" applyBorder="1" applyAlignment="1">
      <x:alignment horizontal="right"/>
    </x:xf>
    <x:xf numFmtId="202" fontId="16" fillId="0" borderId="3" xfId="0" applyNumberFormat="1" applyFont="1" applyFill="1" applyBorder="1" applyAlignment="1">
      <x:alignment horizontal="right"/>
    </x:xf>
    <x:xf numFmtId="0" fontId="14" fillId="0" borderId="0" xfId="0" applyNumberFormat="1" applyFont="1" applyFill="1" applyBorder="1" applyAlignment="1">
      <x:alignment horizontal="right"/>
    </x:xf>
    <x:xf numFmtId="201" fontId="22" fillId="0" borderId="0" xfId="0" applyNumberFormat="1" applyFont="1" applyFill="1" applyBorder="1" applyAlignment="1">
      <x:alignment horizontal="right"/>
    </x:xf>
    <x:xf numFmtId="201" fontId="14" fillId="0" borderId="0" xfId="0" applyNumberFormat="1" applyFont="1" applyFill="1" applyBorder="1" applyAlignment="1">
      <x:alignment horizontal="right"/>
    </x:xf>
    <x:xf numFmtId="201" fontId="16" fillId="0" borderId="3" xfId="0" applyNumberFormat="1" applyFont="1" applyFill="1" applyBorder="1" applyAlignment="1">
      <x:alignment horizontal="right"/>
    </x:xf>
    <x:xf numFmtId="203" fontId="22" fillId="0" borderId="0" xfId="0" applyNumberFormat="1" applyFont="1" applyFill="1" applyBorder="1" applyAlignment="1">
      <x:alignment horizontal="right"/>
    </x:xf>
    <x:xf numFmtId="204" fontId="22" fillId="0" borderId="0" xfId="0" applyNumberFormat="1" applyFont="1" applyFill="1" applyBorder="1" applyAlignment="1">
      <x:alignment horizontal="right"/>
    </x:xf>
    <x:xf numFmtId="200" fontId="16" fillId="0" borderId="3" xfId="0" applyNumberFormat="1" applyFont="1" applyFill="1" applyBorder="1" applyAlignment="1">
      <x:alignment horizontal="right"/>
    </x:xf>
    <x:xf numFmtId="205" fontId="16" fillId="5" borderId="2" xfId="0" applyNumberFormat="1" applyFont="1" applyFill="1" applyBorder="1" applyAlignment="1">
      <x:alignment horizontal="right" vertical="center"/>
    </x:xf>
    <x:xf numFmtId="202" fontId="21" fillId="0" borderId="0" xfId="0" applyNumberFormat="1" applyFont="1" applyFill="1" applyBorder="1" applyAlignment="1">
      <x:alignment vertical="center"/>
    </x:xf>
    <x:xf numFmtId="202" fontId="22" fillId="0" borderId="0" xfId="0" applyNumberFormat="1" applyFont="1" applyFill="1" applyBorder="1" applyAlignment="1">
      <x:alignment horizontal="right" vertical="center"/>
    </x:xf>
    <x:xf numFmtId="200" fontId="22" fillId="0" borderId="0" xfId="0" applyNumberFormat="1" applyFont="1" applyFill="1" applyBorder="1" applyAlignment="1">
      <x:alignment horizontal="right" vertical="center"/>
    </x:xf>
    <x:xf numFmtId="202" fontId="14" fillId="0" borderId="0" xfId="0" applyNumberFormat="1" applyFont="1" applyFill="1" applyBorder="1" applyAlignment="1">
      <x:alignment horizontal="right" vertical="center"/>
    </x:xf>
    <x:xf numFmtId="202" fontId="16" fillId="0" borderId="3" xfId="0" applyNumberFormat="1" applyFont="1" applyFill="1" applyBorder="1" applyAlignment="1">
      <x:alignment horizontal="right" vertical="center"/>
    </x:xf>
    <x:xf numFmtId="0" fontId="14" fillId="0" borderId="0" xfId="0" applyNumberFormat="1" applyFont="1" applyFill="1" applyBorder="1" applyAlignment="1">
      <x:alignment horizontal="right" vertical="center"/>
    </x:xf>
    <x:xf numFmtId="201" fontId="22" fillId="0" borderId="0" xfId="0" applyNumberFormat="1" applyFont="1" applyFill="1" applyBorder="1" applyAlignment="1">
      <x:alignment horizontal="right" vertical="center"/>
    </x:xf>
    <x:xf numFmtId="201" fontId="14" fillId="0" borderId="0" xfId="0" applyNumberFormat="1" applyFont="1" applyFill="1" applyBorder="1" applyAlignment="1">
      <x:alignment horizontal="right" vertical="center"/>
    </x:xf>
    <x:xf numFmtId="201" fontId="16" fillId="0" borderId="3" xfId="0" applyNumberFormat="1" applyFont="1" applyFill="1" applyBorder="1" applyAlignment="1">
      <x:alignment horizontal="right" vertical="center"/>
    </x:xf>
    <x:xf numFmtId="203" fontId="22" fillId="0" borderId="0" xfId="0" applyNumberFormat="1" applyFont="1" applyFill="1" applyBorder="1" applyAlignment="1">
      <x:alignment horizontal="right" vertical="center"/>
    </x:xf>
    <x:xf numFmtId="204" fontId="22" fillId="0" borderId="0" xfId="0" applyNumberFormat="1" applyFont="1" applyFill="1" applyBorder="1" applyAlignment="1">
      <x:alignment horizontal="right" vertical="center"/>
    </x:xf>
    <x:xf numFmtId="200" fontId="16" fillId="0" borderId="3" xfId="0" applyNumberFormat="1" applyFont="1" applyFill="1" applyBorder="1" applyAlignment="1">
      <x:alignment horizontal="right" vertical="center"/>
    </x:xf>
    <x:xf numFmtId="0" fontId="14" fillId="0" borderId="12" xfId="0" applyNumberFormat="1" applyFont="1" applyFill="1" applyBorder="1"/>
    <x:xf numFmtId="201" fontId="14" fillId="0" borderId="13" xfId="0" applyNumberFormat="1" applyFont="1" applyFill="1" applyBorder="1"/>
    <x:xf numFmtId="201" fontId="14" fillId="0" borderId="11" xfId="0" applyNumberFormat="1" applyFont="1" applyFill="1" applyBorder="1"/>
    <x:xf numFmtId="0" fontId="14" fillId="3" borderId="6" xfId="0" applyNumberFormat="1" applyFont="1" applyFill="1" applyBorder="1"/>
    <x:xf numFmtId="201" fontId="14" fillId="3" borderId="14" xfId="0" applyNumberFormat="1" applyFont="1" applyFill="1" applyBorder="1"/>
    <x:xf numFmtId="201" fontId="14" fillId="3" borderId="4" xfId="0" applyNumberFormat="1" applyFont="1" applyFill="1" applyBorder="1"/>
    <x:xf numFmtId="0" fontId="14" fillId="0" borderId="8" xfId="0" applyNumberFormat="1" applyFont="1" applyFill="1" applyBorder="1"/>
    <x:xf numFmtId="201" fontId="14" fillId="0" borderId="15" xfId="0" applyNumberFormat="1" applyFont="1" applyFill="1" applyBorder="1"/>
    <x:xf numFmtId="201" fontId="14" fillId="0" borderId="7" xfId="0" applyNumberFormat="1" applyFont="1" applyFill="1" applyBorder="1"/>
    <x:xf numFmtId="205" fontId="16" fillId="7" borderId="0" xfId="0" applyNumberFormat="1" applyFont="1" applyFill="1" applyBorder="1"/>
    <x:xf numFmtId="0" fontId="14" fillId="0" borderId="12" xfId="0" applyNumberFormat="1" applyFont="1" applyFill="1" applyBorder="1" applyAlignment="1">
      <x:alignment vertical="center"/>
    </x:xf>
    <x:xf numFmtId="201" fontId="14" fillId="0" borderId="13" xfId="0" applyNumberFormat="1" applyFont="1" applyFill="1" applyBorder="1" applyAlignment="1">
      <x:alignment vertical="center"/>
    </x:xf>
    <x:xf numFmtId="201" fontId="14" fillId="0" borderId="11" xfId="0" applyNumberFormat="1" applyFont="1" applyFill="1" applyBorder="1" applyAlignment="1">
      <x:alignment vertical="center"/>
    </x:xf>
    <x:xf numFmtId="0" fontId="14" fillId="3" borderId="6" xfId="0" applyNumberFormat="1" applyFont="1" applyFill="1" applyBorder="1" applyAlignment="1">
      <x:alignment vertical="center"/>
    </x:xf>
    <x:xf numFmtId="201" fontId="14" fillId="3" borderId="14" xfId="0" applyNumberFormat="1" applyFont="1" applyFill="1" applyBorder="1" applyAlignment="1">
      <x:alignment vertical="center"/>
    </x:xf>
    <x:xf numFmtId="201" fontId="14" fillId="3" borderId="4" xfId="0" applyNumberFormat="1" applyFont="1" applyFill="1" applyBorder="1" applyAlignment="1">
      <x:alignment vertical="center"/>
    </x:xf>
    <x:xf numFmtId="0" fontId="14" fillId="0" borderId="8" xfId="0" applyNumberFormat="1" applyFont="1" applyFill="1" applyBorder="1" applyAlignment="1">
      <x:alignment vertical="center"/>
    </x:xf>
    <x:xf numFmtId="201" fontId="14" fillId="0" borderId="15" xfId="0" applyNumberFormat="1" applyFont="1" applyFill="1" applyBorder="1" applyAlignment="1">
      <x:alignment vertical="center"/>
    </x:xf>
    <x:xf numFmtId="201" fontId="14" fillId="0" borderId="7" xfId="0" applyNumberFormat="1" applyFont="1" applyFill="1" applyBorder="1" applyAlignment="1">
      <x:alignment vertical="center"/>
    </x:xf>
    <x:xf numFmtId="205" fontId="16" fillId="7" borderId="0" xfId="0" applyNumberFormat="1" applyFont="1" applyFill="1" applyBorder="1" applyAlignment="1">
      <x:alignment vertical="center"/>
    </x:xf>
    <x:xf numFmtId="0" fontId="16" fillId="6" borderId="4" xfId="0" applyNumberFormat="1" applyFont="1" applyFill="1" applyBorder="1"/>
    <x:xf numFmtId="0" fontId="16" fillId="6" borderId="6" xfId="0" applyNumberFormat="1" applyFont="1" applyFill="1" applyBorder="1"/>
    <x:xf numFmtId="206" fontId="14" fillId="0" borderId="0" xfId="0" applyNumberFormat="1" applyFont="1" applyFill="1" applyBorder="1"/>
    <x:xf numFmtId="0" fontId="16" fillId="6" borderId="4" xfId="0" applyNumberFormat="1" applyFont="1" applyFill="1" applyBorder="1" applyAlignment="1">
      <x:alignment vertical="center"/>
    </x:xf>
    <x:xf numFmtId="0" fontId="16" fillId="6" borderId="6" xfId="0" applyNumberFormat="1" applyFont="1" applyFill="1" applyBorder="1" applyAlignment="1">
      <x:alignment vertical="center"/>
    </x:xf>
    <x:xf numFmtId="206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wrapText="1"/>
    </x:xf>
    <x:xf numFmtId="207" fontId="14" fillId="0" borderId="0" xfId="0" applyNumberFormat="1" applyFont="1" applyFill="1" applyBorder="1" applyAlignment="1">
      <x:alignment wrapText="1"/>
    </x:xf>
    <x:xf numFmtId="0" fontId="23" fillId="4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207" fontId="14" fillId="0" borderId="0" xfId="0" applyNumberFormat="1" applyFont="1" applyFill="1" applyBorder="1" applyAlignment="1">
      <x:alignment vertical="center" wrapText="1"/>
    </x:xf>
    <x:xf numFmtId="0" fontId="23" fillId="4" borderId="0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87A55"/>
      </x:font>
      <x:fill>
        <x:patternFill patternType="solid">
          <x:bgColor rgb="FFE8F7F1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cfbf093b843ce" /><Relationship Type="http://schemas.openxmlformats.org/officeDocument/2006/relationships/theme" Target="/xl/theme/theme1.xml" Id="R0a808ad796a44ef1" /><Relationship Type="http://schemas.openxmlformats.org/officeDocument/2006/relationships/sharedStrings" Target="/xl/sharedStrings.xml" Id="R75c60b4af435469c" /><Relationship Type="http://schemas.openxmlformats.org/officeDocument/2006/relationships/worksheet" Target="/xl/worksheets/sheet1.xml" Id="R7e169bdcc99c400a" /><Relationship Type="http://schemas.openxmlformats.org/officeDocument/2006/relationships/worksheet" Target="/xl/worksheets/sheet2.xml" Id="R1d68edf489ff4e5c" /><Relationship Type="http://schemas.openxmlformats.org/officeDocument/2006/relationships/worksheet" Target="/xl/worksheets/sheet3.xml" Id="Rc07b97d116d945cd" /><Relationship Type="http://schemas.openxmlformats.org/officeDocument/2006/relationships/worksheet" Target="/xl/worksheets/sheet4.xml" Id="R35690825b06c4c07" /><Relationship Type="http://schemas.openxmlformats.org/officeDocument/2006/relationships/worksheet" Target="/xl/worksheets/sheet5.xml" Id="R44695fca14c3448e" /><Relationship Type="http://schemas.openxmlformats.org/officeDocument/2006/relationships/worksheet" Target="/xl/worksheets/sheet6.xml" Id="Rb9c967a8b3c94709" /><Relationship Type="http://schemas.microsoft.com/office/2017/10/relationships/person" Target="/xl/persons/person.xml" Id="R14348ea11e9545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54414ceaa842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and Ending Cash ($)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'Summary'!$N$2:$N$37</c:f>
              <c:strCache>
                <c:ptCount val="0"/>
              </c:strCache>
            </c:strRef>
          </c:cat>
          <c:val>
            <c:numRef>
              <c:f>'Summary'!$O$2:$O$37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Ending Cash</c:v>
          </c:tx>
          <c:marker>
            <c:symbol val="none"/>
          </c:marker>
          <c:cat>
            <c:strRef>
              <c:f>'Summary'!$N$2:$N$37</c:f>
              <c:strCache>
                <c:ptCount val="0"/>
              </c:strCache>
            </c:strRef>
          </c:cat>
          <c:val>
            <c:numRef>
              <c:f>'Summary'!$P$2:$P$37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18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54414ceaa842b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Malir" id="{C75850AF-27EA-4AE6-B162-C8356A22B7E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7" dT="2026-07-13T17:50:18.706" personId="{C75850AF-27EA-4AE6-B162-C8356A22B7EF}" id="{8803F378-CF05-9036-5042-04257001897B}">
    <xltc:text>Planning assumption for AI Shark Tank. Internally estimated for the Website visits — month 1; replace with observed data as the beta produces results. As of 2026-07-13.</xltc:text>
  </xltc:threadedComment>
  <xltc:threadedComment ref="D7" dT="2026-07-13T17:50:18.711" personId="{C75850AF-27EA-4AE6-B162-C8356A22B7EF}" id="{FF4BAC35-4C0A-FA2B-033C-8DF15B792BFB}">
    <xltc:text>Planning assumption for AI Shark Tank. Internally estimated for the Website visits — month 1; replace with observed data as the beta produces results. As of 2026-07-13.</xltc:text>
  </xltc:threadedComment>
  <xltc:threadedComment ref="E7" dT="2026-07-13T17:50:18.711" personId="{C75850AF-27EA-4AE6-B162-C8356A22B7EF}" id="{E457D97D-98D8-D78E-9B4B-C09ADD800B9A}">
    <xltc:text>Planning assumption for AI Shark Tank. Internally estimated for the Website visits — month 1; replace with observed data as the beta produces results. As of 2026-07-13.</xltc:text>
  </xltc:threadedComment>
  <xltc:threadedComment ref="C8" dT="2026-07-13T17:50:18.714" personId="{C75850AF-27EA-4AE6-B162-C8356A22B7EF}" id="{02862F08-4EDD-720F-3659-8F3CFE6F5108}">
    <xltc:text>Planning assumption for AI Shark Tank. Internally estimated for the Monthly website traffic growth; replace with observed data as the beta produces results. As of 2026-07-13.</xltc:text>
  </xltc:threadedComment>
  <xltc:threadedComment ref="D8" dT="2026-07-13T17:50:18.714" personId="{C75850AF-27EA-4AE6-B162-C8356A22B7EF}" id="{7006CA05-3D9A-4AC0-7B0F-8BDB8F9A9198}">
    <xltc:text>Planning assumption for AI Shark Tank. Internally estimated for the Monthly website traffic growth; replace with observed data as the beta produces results. As of 2026-07-13.</xltc:text>
  </xltc:threadedComment>
  <xltc:threadedComment ref="E8" dT="2026-07-13T17:50:18.714" personId="{C75850AF-27EA-4AE6-B162-C8356A22B7EF}" id="{C0B2E100-95AB-8D05-776E-0E4297710730}">
    <xltc:text>Planning assumption for AI Shark Tank. Internally estimated for the Monthly website traffic growth; replace with observed data as the beta produces results. As of 2026-07-13.</xltc:text>
  </xltc:threadedComment>
  <xltc:threadedComment ref="C9" dT="2026-07-13T17:50:18.716" personId="{C75850AF-27EA-4AE6-B162-C8356A22B7EF}" id="{801FC0D7-7AC2-521D-EFE4-350BBDEAC706}">
    <xltc:text>Planning assumption for AI Shark Tank. Internally estimated for the Visitor-to-signup rate; replace with observed data as the beta produces results. As of 2026-07-13.</xltc:text>
  </xltc:threadedComment>
  <xltc:threadedComment ref="D9" dT="2026-07-13T17:50:18.716" personId="{C75850AF-27EA-4AE6-B162-C8356A22B7EF}" id="{0F6C7E7A-649F-5281-1CAD-5784E8175C48}">
    <xltc:text>Planning assumption for AI Shark Tank. Internally estimated for the Visitor-to-signup rate; replace with observed data as the beta produces results. As of 2026-07-13.</xltc:text>
  </xltc:threadedComment>
  <xltc:threadedComment ref="E9" dT="2026-07-13T17:50:18.716" personId="{C75850AF-27EA-4AE6-B162-C8356A22B7EF}" id="{74BDAB1B-0621-DFCD-F6E5-053661CF82CD}">
    <xltc:text>Planning assumption for AI Shark Tank. Internally estimated for the Visitor-to-signup rate; replace with observed data as the beta produces results. As of 2026-07-13.</xltc:text>
  </xltc:threadedComment>
  <xltc:threadedComment ref="C10" dT="2026-07-13T17:50:18.718" personId="{C75850AF-27EA-4AE6-B162-C8356A22B7EF}" id="{FAB5B659-678E-BB62-A1AE-5ACD73A851C9}">
    <xltc:text>Planning assumption for AI Shark Tank. Internally estimated for the Signup-to-paid conversion; replace with observed data as the beta produces results. As of 2026-07-13.</xltc:text>
  </xltc:threadedComment>
  <xltc:threadedComment ref="D10" dT="2026-07-13T17:50:18.718" personId="{C75850AF-27EA-4AE6-B162-C8356A22B7EF}" id="{89E642CE-1E93-9E6A-CCD5-B29E218C32DA}">
    <xltc:text>Planning assumption for AI Shark Tank. Internally estimated for the Signup-to-paid conversion; replace with observed data as the beta produces results. As of 2026-07-13.</xltc:text>
  </xltc:threadedComment>
  <xltc:threadedComment ref="E10" dT="2026-07-13T17:50:18.718" personId="{C75850AF-27EA-4AE6-B162-C8356A22B7EF}" id="{446CC8D6-D591-7DDE-244F-B9C60B7BE238}">
    <xltc:text>Planning assumption for AI Shark Tank. Internally estimated for the Signup-to-paid conversion; replace with observed data as the beta produces results. As of 2026-07-13.</xltc:text>
  </xltc:threadedComment>
  <xltc:threadedComment ref="C11" dT="2026-07-13T17:50:18.72" personId="{C75850AF-27EA-4AE6-B162-C8356A22B7EF}" id="{1B78CB2A-A99E-BBF1-4B65-36D317DD5D37}">
    <xltc:text>Planning assumption for AI Shark Tank. Internally estimated for the Monthly individual churn; replace with observed data as the beta produces results. As of 2026-07-13.</xltc:text>
  </xltc:threadedComment>
  <xltc:threadedComment ref="D11" dT="2026-07-13T17:50:18.72" personId="{C75850AF-27EA-4AE6-B162-C8356A22B7EF}" id="{EED6D9E5-03EA-21A3-5607-7F31E94E0C7E}">
    <xltc:text>Planning assumption for AI Shark Tank. Internally estimated for the Monthly individual churn; replace with observed data as the beta produces results. As of 2026-07-13.</xltc:text>
  </xltc:threadedComment>
  <xltc:threadedComment ref="E11" dT="2026-07-13T17:50:18.72" personId="{C75850AF-27EA-4AE6-B162-C8356A22B7EF}" id="{1FB22844-62C9-75F3-4D83-FFC9B877205D}">
    <xltc:text>Planning assumption for AI Shark Tank. Internally estimated for the Monthly individual churn; replace with observed data as the beta produces results. As of 2026-07-13.</xltc:text>
  </xltc:threadedComment>
  <xltc:threadedComment ref="C12" dT="2026-07-13T17:50:18.721" personId="{C75850AF-27EA-4AE6-B162-C8356A22B7EF}" id="{6C1A405B-BCB6-3B01-3B5A-5B02104551E2}">
    <xltc:text>Planning assumption for AI Shark Tank. Internally estimated for the B2B leads — month 1; replace with observed data as the beta produces results. As of 2026-07-13.</xltc:text>
  </xltc:threadedComment>
  <xltc:threadedComment ref="D12" dT="2026-07-13T17:50:18.721" personId="{C75850AF-27EA-4AE6-B162-C8356A22B7EF}" id="{678A9F5D-CD1F-3545-4136-3195592D961A}">
    <xltc:text>Planning assumption for AI Shark Tank. Internally estimated for the B2B leads — month 1; replace with observed data as the beta produces results. As of 2026-07-13.</xltc:text>
  </xltc:threadedComment>
  <xltc:threadedComment ref="E12" dT="2026-07-13T17:50:18.721" personId="{C75850AF-27EA-4AE6-B162-C8356A22B7EF}" id="{12650266-E5B3-DDC5-EE39-3748FFE1C50F}">
    <xltc:text>Planning assumption for AI Shark Tank. Internally estimated for the B2B leads — month 1; replace with observed data as the beta produces results. As of 2026-07-13.</xltc:text>
  </xltc:threadedComment>
  <xltc:threadedComment ref="C13" dT="2026-07-13T17:50:18.723" personId="{C75850AF-27EA-4AE6-B162-C8356A22B7EF}" id="{84E021AB-62C8-04CF-07DF-BC7D3E7AEB27}">
    <xltc:text>Planning assumption for AI Shark Tank. Internally estimated for the Monthly B2B lead growth; replace with observed data as the beta produces results. As of 2026-07-13.</xltc:text>
  </xltc:threadedComment>
  <xltc:threadedComment ref="D13" dT="2026-07-13T17:50:18.723" personId="{C75850AF-27EA-4AE6-B162-C8356A22B7EF}" id="{421C217E-710D-5D60-607D-1F6B751DAFD5}">
    <xltc:text>Planning assumption for AI Shark Tank. Internally estimated for the Monthly B2B lead growth; replace with observed data as the beta produces results. As of 2026-07-13.</xltc:text>
  </xltc:threadedComment>
  <xltc:threadedComment ref="E13" dT="2026-07-13T17:50:18.723" personId="{C75850AF-27EA-4AE6-B162-C8356A22B7EF}" id="{34FDF23B-A589-A22E-96FB-362C5C0E5C58}">
    <xltc:text>Planning assumption for AI Shark Tank. Internally estimated for the Monthly B2B lead growth; replace with observed data as the beta produces results. As of 2026-07-13.</xltc:text>
  </xltc:threadedComment>
  <xltc:threadedComment ref="C14" dT="2026-07-13T17:50:18.724" personId="{C75850AF-27EA-4AE6-B162-C8356A22B7EF}" id="{93C85A10-5F13-F21A-F251-96861DF3573F}">
    <xltc:text>Planning assumption for AI Shark Tank. Internally estimated for the B2B lead close rate; replace with observed data as the beta produces results. As of 2026-07-13.</xltc:text>
  </xltc:threadedComment>
  <xltc:threadedComment ref="D14" dT="2026-07-13T17:50:18.724" personId="{C75850AF-27EA-4AE6-B162-C8356A22B7EF}" id="{22556C15-ACB1-3DD0-286B-6FE820ECB16F}">
    <xltc:text>Planning assumption for AI Shark Tank. Internally estimated for the B2B lead close rate; replace with observed data as the beta produces results. As of 2026-07-13.</xltc:text>
  </xltc:threadedComment>
  <xltc:threadedComment ref="E14" dT="2026-07-13T17:50:18.724" personId="{C75850AF-27EA-4AE6-B162-C8356A22B7EF}" id="{18EA9CB7-FAD8-94C1-14B3-5DCDEFCA2EB8}">
    <xltc:text>Planning assumption for AI Shark Tank. Internally estimated for the B2B lead close rate; replace with observed data as the beta produces results. As of 2026-07-13.</xltc:text>
  </xltc:threadedComment>
  <xltc:threadedComment ref="C15" dT="2026-07-13T17:50:18.725" personId="{C75850AF-27EA-4AE6-B162-C8356A22B7EF}" id="{FB68E676-64C8-B50C-34E9-BF746969F690}">
    <xltc:text>Planning assumption for AI Shark Tank. Internally estimated for the Monthly B2B account churn; replace with observed data as the beta produces results. As of 2026-07-13.</xltc:text>
  </xltc:threadedComment>
  <xltc:threadedComment ref="D15" dT="2026-07-13T17:50:18.726" personId="{C75850AF-27EA-4AE6-B162-C8356A22B7EF}" id="{7F45B5B2-672C-FBE3-5134-13D8B2297E0C}">
    <xltc:text>Planning assumption for AI Shark Tank. Internally estimated for the Monthly B2B account churn; replace with observed data as the beta produces results. As of 2026-07-13.</xltc:text>
  </xltc:threadedComment>
  <xltc:threadedComment ref="E15" dT="2026-07-13T17:50:18.726" personId="{C75850AF-27EA-4AE6-B162-C8356A22B7EF}" id="{8834B1EF-900B-D7D3-F114-ACBE63632E53}">
    <xltc:text>Planning assumption for AI Shark Tank. Internally estimated for the Monthly B2B account churn; replace with observed data as the beta produces results. As of 2026-07-13.</xltc:text>
  </xltc:threadedComment>
  <xltc:threadedComment ref="C17" dT="2026-07-13T17:50:18.727" personId="{C75850AF-27EA-4AE6-B162-C8356A22B7EF}" id="{2895BF95-6008-4346-9817-C3068AC05970}">
    <xltc:text>Planning assumption for AI Shark Tank. Internally estimated for the Individual subscription ARPU; replace with observed data as the beta produces results. As of 2026-07-13.</xltc:text>
  </xltc:threadedComment>
  <xltc:threadedComment ref="D17" dT="2026-07-13T17:50:18.727" personId="{C75850AF-27EA-4AE6-B162-C8356A22B7EF}" id="{4E639B5F-81E8-B7EB-7112-32426C74F117}">
    <xltc:text>Planning assumption for AI Shark Tank. Internally estimated for the Individual subscription ARPU; replace with observed data as the beta produces results. As of 2026-07-13.</xltc:text>
  </xltc:threadedComment>
  <xltc:threadedComment ref="E17" dT="2026-07-13T17:50:18.727" personId="{C75850AF-27EA-4AE6-B162-C8356A22B7EF}" id="{156276B9-EE5A-7AE9-C54F-754621FB884E}">
    <xltc:text>Planning assumption for AI Shark Tank. Internally estimated for the Individual subscription ARPU; replace with observed data as the beta produces results. As of 2026-07-13.</xltc:text>
  </xltc:threadedComment>
  <xltc:threadedComment ref="C18" dT="2026-07-13T17:50:18.728" personId="{C75850AF-27EA-4AE6-B162-C8356A22B7EF}" id="{D53CA7B3-1720-876F-E5AB-28C93CF717C2}">
    <xltc:text>Planning assumption for AI Shark Tank. Internally estimated for the Program / accelerator ARPA; replace with observed data as the beta produces results. As of 2026-07-13.</xltc:text>
  </xltc:threadedComment>
  <xltc:threadedComment ref="D18" dT="2026-07-13T17:50:18.728" personId="{C75850AF-27EA-4AE6-B162-C8356A22B7EF}" id="{1EEEA0C0-BDBF-6AC1-2613-91009535557E}">
    <xltc:text>Planning assumption for AI Shark Tank. Internally estimated for the Program / accelerator ARPA; replace with observed data as the beta produces results. As of 2026-07-13.</xltc:text>
  </xltc:threadedComment>
  <xltc:threadedComment ref="E18" dT="2026-07-13T17:50:18.728" personId="{C75850AF-27EA-4AE6-B162-C8356A22B7EF}" id="{798D9879-1BC9-1F42-49A2-19B47745DB9E}">
    <xltc:text>Planning assumption for AI Shark Tank. Internally estimated for the Program / accelerator ARPA; replace with observed data as the beta produces results. As of 2026-07-13.</xltc:text>
  </xltc:threadedComment>
  <xltc:threadedComment ref="C19" dT="2026-07-13T17:50:18.729" personId="{C75850AF-27EA-4AE6-B162-C8356A22B7EF}" id="{F21C8FF6-A8F3-7F14-6858-8F7F10C5ABA9}">
    <xltc:text>Planning assumption for AI Shark Tank. Internally estimated for the Reports per individual / month; replace with observed data as the beta produces results. As of 2026-07-13.</xltc:text>
  </xltc:threadedComment>
  <xltc:threadedComment ref="D19" dT="2026-07-13T17:50:18.729" personId="{C75850AF-27EA-4AE6-B162-C8356A22B7EF}" id="{179FF93E-1577-2215-C60D-C3B5C1430069}">
    <xltc:text>Planning assumption for AI Shark Tank. Internally estimated for the Reports per individual / month; replace with observed data as the beta produces results. As of 2026-07-13.</xltc:text>
  </xltc:threadedComment>
  <xltc:threadedComment ref="E19" dT="2026-07-13T17:50:18.729" personId="{C75850AF-27EA-4AE6-B162-C8356A22B7EF}" id="{DEAEA3A8-2516-1B35-1802-36068E745EF3}">
    <xltc:text>Planning assumption for AI Shark Tank. Internally estimated for the Reports per individual / month; replace with observed data as the beta produces results. As of 2026-07-13.</xltc:text>
  </xltc:threadedComment>
  <xltc:threadedComment ref="C20" dT="2026-07-13T17:50:18.731" personId="{C75850AF-27EA-4AE6-B162-C8356A22B7EF}" id="{B3FE184C-4834-8745-983C-7BDA053DC5C8}">
    <xltc:text>Planning assumption for AI Shark Tank. Internally estimated for the Reports per B2B program / month; replace with observed data as the beta produces results. As of 2026-07-13.</xltc:text>
  </xltc:threadedComment>
  <xltc:threadedComment ref="D20" dT="2026-07-13T17:50:18.731" personId="{C75850AF-27EA-4AE6-B162-C8356A22B7EF}" id="{A0BD3E33-534C-DEE8-6331-544E4473E096}">
    <xltc:text>Planning assumption for AI Shark Tank. Internally estimated for the Reports per B2B program / month; replace with observed data as the beta produces results. As of 2026-07-13.</xltc:text>
  </xltc:threadedComment>
  <xltc:threadedComment ref="E20" dT="2026-07-13T17:50:18.731" personId="{C75850AF-27EA-4AE6-B162-C8356A22B7EF}" id="{2AB586A2-41CB-D720-859A-9BFDCF40F1F6}">
    <xltc:text>Planning assumption for AI Shark Tank. Internally estimated for the Reports per B2B program / month; replace with observed data as the beta produces results. As of 2026-07-13.</xltc:text>
  </xltc:threadedComment>
  <xltc:threadedComment ref="C21" dT="2026-07-13T17:50:18.732" personId="{C75850AF-27EA-4AE6-B162-C8356A22B7EF}" id="{FD3D2EB1-A232-C70D-6642-3D83240B908C}">
    <xltc:text>Planning assumption for AI Shark Tank. Internally estimated for the AI processing cost per report; replace with observed data as the beta produces results. As of 2026-07-13.</xltc:text>
  </xltc:threadedComment>
  <xltc:threadedComment ref="D21" dT="2026-07-13T17:50:18.732" personId="{C75850AF-27EA-4AE6-B162-C8356A22B7EF}" id="{6A4EDF62-46AC-6188-85A1-2D2C111329A9}">
    <xltc:text>Planning assumption for AI Shark Tank. Internally estimated for the AI processing cost per report; replace with observed data as the beta produces results. As of 2026-07-13.</xltc:text>
  </xltc:threadedComment>
  <xltc:threadedComment ref="E21" dT="2026-07-13T17:50:18.732" personId="{C75850AF-27EA-4AE6-B162-C8356A22B7EF}" id="{7DC223C7-8E1B-B753-2C92-11BA6301A3CE}">
    <xltc:text>Planning assumption for AI Shark Tank. Internally estimated for the AI processing cost per report; replace with observed data as the beta produces results. As of 2026-07-13.</xltc:text>
  </xltc:threadedComment>
  <xltc:threadedComment ref="C22" dT="2026-07-13T17:50:18.734" personId="{C75850AF-27EA-4AE6-B162-C8356A22B7EF}" id="{0C88DE7C-A556-418D-B3A9-834737D16873}">
    <xltc:text>Planning assumption for AI Shark Tank. Internally estimated for the Hosting &amp; storage per active account; replace with observed data as the beta produces results. As of 2026-07-13.</xltc:text>
  </xltc:threadedComment>
  <xltc:threadedComment ref="D22" dT="2026-07-13T17:50:18.734" personId="{C75850AF-27EA-4AE6-B162-C8356A22B7EF}" id="{505CEB35-3190-3464-D171-9A74100CCBE7}">
    <xltc:text>Planning assumption for AI Shark Tank. Internally estimated for the Hosting &amp; storage per active account; replace with observed data as the beta produces results. As of 2026-07-13.</xltc:text>
  </xltc:threadedComment>
  <xltc:threadedComment ref="E22" dT="2026-07-13T17:50:18.734" personId="{C75850AF-27EA-4AE6-B162-C8356A22B7EF}" id="{2D8783F6-1F4E-E87F-2EDB-00976942F97E}">
    <xltc:text>Planning assumption for AI Shark Tank. Internally estimated for the Hosting &amp; storage per active account; replace with observed data as the beta produces results. As of 2026-07-13.</xltc:text>
  </xltc:threadedComment>
  <xltc:threadedComment ref="C23" dT="2026-07-13T17:50:18.746" personId="{C75850AF-27EA-4AE6-B162-C8356A22B7EF}" id="{7B921484-9CAC-52B4-ADEB-124FF7E6C71F}">
    <xltc:text>Planning assumption for AI Shark Tank. Internally estimated for the Payment processing rate; replace with observed data as the beta produces results. As of 2026-07-13.</xltc:text>
  </xltc:threadedComment>
  <xltc:threadedComment ref="D23" dT="2026-07-13T17:50:18.746" personId="{C75850AF-27EA-4AE6-B162-C8356A22B7EF}" id="{3E6B370C-6D8F-39A5-79BE-7930FD5124CE}">
    <xltc:text>Planning assumption for AI Shark Tank. Internally estimated for the Payment processing rate; replace with observed data as the beta produces results. As of 2026-07-13.</xltc:text>
  </xltc:threadedComment>
  <xltc:threadedComment ref="E23" dT="2026-07-13T17:50:18.746" personId="{C75850AF-27EA-4AE6-B162-C8356A22B7EF}" id="{7626BE18-2351-8C65-8421-A76565CC5A34}">
    <xltc:text>Planning assumption for AI Shark Tank. Internally estimated for the Payment processing rate; replace with observed data as the beta produces results. As of 2026-07-13.</xltc:text>
  </xltc:threadedComment>
  <xltc:threadedComment ref="C25" dT="2026-07-13T17:50:18.747" personId="{C75850AF-27EA-4AE6-B162-C8356A22B7EF}" id="{A58E2233-123B-4099-99A3-9F5F00037B58}">
    <xltc:text>Planning assumption for AI Shark Tank. Internally estimated for the Marketing spend — month 1; replace with observed data as the beta produces results. As of 2026-07-13.</xltc:text>
  </xltc:threadedComment>
  <xltc:threadedComment ref="D25" dT="2026-07-13T17:50:18.747" personId="{C75850AF-27EA-4AE6-B162-C8356A22B7EF}" id="{B8DA123A-9962-A9E6-DAD5-09986D2C6467}">
    <xltc:text>Planning assumption for AI Shark Tank. Internally estimated for the Marketing spend — month 1; replace with observed data as the beta produces results. As of 2026-07-13.</xltc:text>
  </xltc:threadedComment>
  <xltc:threadedComment ref="E25" dT="2026-07-13T17:50:18.747" personId="{C75850AF-27EA-4AE6-B162-C8356A22B7EF}" id="{925E0516-85E8-E083-1614-9F2AA89FFF14}">
    <xltc:text>Planning assumption for AI Shark Tank. Internally estimated for the Marketing spend — month 1; replace with observed data as the beta produces results. As of 2026-07-13.</xltc:text>
  </xltc:threadedComment>
  <xltc:threadedComment ref="C26" dT="2026-07-13T17:50:18.749" personId="{C75850AF-27EA-4AE6-B162-C8356A22B7EF}" id="{27D5EAA9-13D8-962C-8382-3D4968D90C27}">
    <xltc:text>Planning assumption for AI Shark Tank. Internally estimated for the Monthly marketing spend growth; replace with observed data as the beta produces results. As of 2026-07-13.</xltc:text>
  </xltc:threadedComment>
  <xltc:threadedComment ref="D26" dT="2026-07-13T17:50:18.749" personId="{C75850AF-27EA-4AE6-B162-C8356A22B7EF}" id="{1C8AE0D5-C602-7E9A-53EE-D0DD23F387C2}">
    <xltc:text>Planning assumption for AI Shark Tank. Internally estimated for the Monthly marketing spend growth; replace with observed data as the beta produces results. As of 2026-07-13.</xltc:text>
  </xltc:threadedComment>
  <xltc:threadedComment ref="E26" dT="2026-07-13T17:50:18.75" personId="{C75850AF-27EA-4AE6-B162-C8356A22B7EF}" id="{E147B255-36E1-4F38-1814-F00CDBF6B6F4}">
    <xltc:text>Planning assumption for AI Shark Tank. Internally estimated for the Monthly marketing spend growth; replace with observed data as the beta produces results. As of 2026-07-13.</xltc:text>
  </xltc:threadedComment>
  <xltc:threadedComment ref="C27" dT="2026-07-13T17:50:18.751" personId="{C75850AF-27EA-4AE6-B162-C8356A22B7EF}" id="{227F64AA-4C6C-2AFF-2406-29A866FDAF76}">
    <xltc:text>Planning assumption for AI Shark Tank. Internally estimated for the Product / engineering contractor; replace with observed data as the beta produces results. As of 2026-07-13.</xltc:text>
  </xltc:threadedComment>
  <xltc:threadedComment ref="D27" dT="2026-07-13T17:50:18.751" personId="{C75850AF-27EA-4AE6-B162-C8356A22B7EF}" id="{D4C7C414-A119-59B3-E59D-15E1C7CED6D3}">
    <xltc:text>Planning assumption for AI Shark Tank. Internally estimated for the Product / engineering contractor; replace with observed data as the beta produces results. As of 2026-07-13.</xltc:text>
  </xltc:threadedComment>
  <xltc:threadedComment ref="E27" dT="2026-07-13T17:50:18.751" personId="{C75850AF-27EA-4AE6-B162-C8356A22B7EF}" id="{2A5BBFE7-745A-88D5-E4AB-6481D94F179C}">
    <xltc:text>Planning assumption for AI Shark Tank. Internally estimated for the Product / engineering contractor; replace with observed data as the beta produces results. As of 2026-07-13.</xltc:text>
  </xltc:threadedComment>
  <xltc:threadedComment ref="C28" dT="2026-07-13T17:50:18.753" personId="{C75850AF-27EA-4AE6-B162-C8356A22B7EF}" id="{43E4BF34-7FCE-20F7-2D22-3026A1D95DF2}">
    <xltc:text>Planning assumption for AI Shark Tank. Internally estimated for the Founder monthly payroll after start; replace with observed data as the beta produces results. As of 2026-07-13.</xltc:text>
  </xltc:threadedComment>
  <xltc:threadedComment ref="D28" dT="2026-07-13T17:50:18.753" personId="{C75850AF-27EA-4AE6-B162-C8356A22B7EF}" id="{2F875D9F-7934-D154-1224-EBE3F1A96975}">
    <xltc:text>Planning assumption for AI Shark Tank. Internally estimated for the Founder monthly payroll after start; replace with observed data as the beta produces results. As of 2026-07-13.</xltc:text>
  </xltc:threadedComment>
  <xltc:threadedComment ref="E28" dT="2026-07-13T17:50:18.753" personId="{C75850AF-27EA-4AE6-B162-C8356A22B7EF}" id="{09AA8BF0-302C-23E3-D435-19A62D8D549B}">
    <xltc:text>Planning assumption for AI Shark Tank. Internally estimated for the Founder monthly payroll after start; replace with observed data as the beta produces results. As of 2026-07-13.</xltc:text>
  </xltc:threadedComment>
  <xltc:threadedComment ref="C29" dT="2026-07-13T17:50:18.754" personId="{C75850AF-27EA-4AE6-B162-C8356A22B7EF}" id="{100843AF-4249-1575-D92D-932BB5952DFB}">
    <xltc:text>Planning assumption for AI Shark Tank. Internally estimated for the Founder payroll start month; replace with observed data as the beta produces results. As of 2026-07-13.</xltc:text>
  </xltc:threadedComment>
  <xltc:threadedComment ref="D29" dT="2026-07-13T17:50:18.754" personId="{C75850AF-27EA-4AE6-B162-C8356A22B7EF}" id="{8DA7DBA7-C0C2-C880-B921-5E39AE43ACAC}">
    <xltc:text>Planning assumption for AI Shark Tank. Internally estimated for the Founder payroll start month; replace with observed data as the beta produces results. As of 2026-07-13.</xltc:text>
  </xltc:threadedComment>
  <xltc:threadedComment ref="E29" dT="2026-07-13T17:50:18.754" personId="{C75850AF-27EA-4AE6-B162-C8356A22B7EF}" id="{016E4D46-2ED0-49A9-95AC-55C6A6EBFFC8}">
    <xltc:text>Planning assumption for AI Shark Tank. Internally estimated for the Founder payroll start month; replace with observed data as the beta produces results. As of 2026-07-13.</xltc:text>
  </xltc:threadedComment>
  <xltc:threadedComment ref="C30" dT="2026-07-13T17:50:18.755" personId="{C75850AF-27EA-4AE6-B162-C8356A22B7EF}" id="{3FA1A1A9-8BEE-1ABE-80AA-5CDEA36ECFD5}">
    <xltc:text>Planning assumption for AI Shark Tank. Internally estimated for the Sales/support monthly payroll; replace with observed data as the beta produces results. As of 2026-07-13.</xltc:text>
  </xltc:threadedComment>
  <xltc:threadedComment ref="D30" dT="2026-07-13T17:50:18.755" personId="{C75850AF-27EA-4AE6-B162-C8356A22B7EF}" id="{C6EFE8D8-E9F4-CD0A-AFB5-2C89F6F1BDCB}">
    <xltc:text>Planning assumption for AI Shark Tank. Internally estimated for the Sales/support monthly payroll; replace with observed data as the beta produces results. As of 2026-07-13.</xltc:text>
  </xltc:threadedComment>
  <xltc:threadedComment ref="E30" dT="2026-07-13T17:50:18.755" personId="{C75850AF-27EA-4AE6-B162-C8356A22B7EF}" id="{EE65A044-D9EB-31C0-725E-460A04962352}">
    <xltc:text>Planning assumption for AI Shark Tank. Internally estimated for the Sales/support monthly payroll; replace with observed data as the beta produces results. As of 2026-07-13.</xltc:text>
  </xltc:threadedComment>
  <xltc:threadedComment ref="C31" dT="2026-07-13T17:50:18.756" personId="{C75850AF-27EA-4AE6-B162-C8356A22B7EF}" id="{EE681505-4FA4-6A5B-C6E7-1F21B2E6986A}">
    <xltc:text>Planning assumption for AI Shark Tank. Internally estimated for the Sales/support start month; replace with observed data as the beta produces results. As of 2026-07-13.</xltc:text>
  </xltc:threadedComment>
  <xltc:threadedComment ref="D31" dT="2026-07-13T17:50:18.756" personId="{C75850AF-27EA-4AE6-B162-C8356A22B7EF}" id="{6DE85F54-F5FE-1A80-41C2-2178CB01DBBA}">
    <xltc:text>Planning assumption for AI Shark Tank. Internally estimated for the Sales/support start month; replace with observed data as the beta produces results. As of 2026-07-13.</xltc:text>
  </xltc:threadedComment>
  <xltc:threadedComment ref="E31" dT="2026-07-13T17:50:18.756" personId="{C75850AF-27EA-4AE6-B162-C8356A22B7EF}" id="{195E8595-4069-E297-8CB1-AFCDF45F5A47}">
    <xltc:text>Planning assumption for AI Shark Tank. Internally estimated for the Sales/support start month; replace with observed data as the beta produces results. As of 2026-07-13.</xltc:text>
  </xltc:threadedComment>
  <xltc:threadedComment ref="C32" dT="2026-07-13T17:50:18.756" personId="{C75850AF-27EA-4AE6-B162-C8356A22B7EF}" id="{F18EF26F-136C-A499-1988-A448B096E4DA}">
    <xltc:text>Planning assumption for AI Shark Tank. Internally estimated for the Software tools — month 1; replace with observed data as the beta produces results. As of 2026-07-13.</xltc:text>
  </xltc:threadedComment>
  <xltc:threadedComment ref="D32" dT="2026-07-13T17:50:18.757" personId="{C75850AF-27EA-4AE6-B162-C8356A22B7EF}" id="{2D812E28-ADB6-F6F0-F1DF-0A381150A622}">
    <xltc:text>Planning assumption for AI Shark Tank. Internally estimated for the Software tools — month 1; replace with observed data as the beta produces results. As of 2026-07-13.</xltc:text>
  </xltc:threadedComment>
  <xltc:threadedComment ref="E32" dT="2026-07-13T17:50:18.757" personId="{C75850AF-27EA-4AE6-B162-C8356A22B7EF}" id="{9C309DBD-A17F-BF76-C972-8F05785C2728}">
    <xltc:text>Planning assumption for AI Shark Tank. Internally estimated for the Software tools — month 1; replace with observed data as the beta produces results. As of 2026-07-13.</xltc:text>
  </xltc:threadedComment>
  <xltc:threadedComment ref="C33" dT="2026-07-13T17:50:18.757" personId="{C75850AF-27EA-4AE6-B162-C8356A22B7EF}" id="{6AD281FF-18CC-D7D6-89C6-C817ABB36727}">
    <xltc:text>Planning assumption for AI Shark Tank. Internally estimated for the Monthly software cost growth; replace with observed data as the beta produces results. As of 2026-07-13.</xltc:text>
  </xltc:threadedComment>
  <xltc:threadedComment ref="D33" dT="2026-07-13T17:50:18.757" personId="{C75850AF-27EA-4AE6-B162-C8356A22B7EF}" id="{B51941F0-436C-5CAD-35ED-F12018D53606}">
    <xltc:text>Planning assumption for AI Shark Tank. Internally estimated for the Monthly software cost growth; replace with observed data as the beta produces results. As of 2026-07-13.</xltc:text>
  </xltc:threadedComment>
  <xltc:threadedComment ref="E33" dT="2026-07-13T17:50:18.757" personId="{C75850AF-27EA-4AE6-B162-C8356A22B7EF}" id="{67830B12-37EF-6959-96FD-221B20E4ECB3}">
    <xltc:text>Planning assumption for AI Shark Tank. Internally estimated for the Monthly software cost growth; replace with observed data as the beta produces results. As of 2026-07-13.</xltc:text>
  </xltc:threadedComment>
  <xltc:threadedComment ref="C34" dT="2026-07-13T17:50:18.758" personId="{C75850AF-27EA-4AE6-B162-C8356A22B7EF}" id="{0086C9A3-EF39-971D-7618-3633559AB57A}">
    <xltc:text>Planning assumption for AI Shark Tank. Internally estimated for the General &amp; administrative; replace with observed data as the beta produces results. As of 2026-07-13.</xltc:text>
  </xltc:threadedComment>
  <xltc:threadedComment ref="D34" dT="2026-07-13T17:50:18.758" personId="{C75850AF-27EA-4AE6-B162-C8356A22B7EF}" id="{86798888-1A8B-97DC-5E91-1497ED6A1FAC}">
    <xltc:text>Planning assumption for AI Shark Tank. Internally estimated for the General &amp; administrative; replace with observed data as the beta produces results. As of 2026-07-13.</xltc:text>
  </xltc:threadedComment>
  <xltc:threadedComment ref="E34" dT="2026-07-13T17:50:18.758" personId="{C75850AF-27EA-4AE6-B162-C8356A22B7EF}" id="{C8D35617-2F72-DC39-05B8-1B0C0D39B8C3}">
    <xltc:text>Planning assumption for AI Shark Tank. Internally estimated for the General &amp; administrative; replace with observed data as the beta produces results. As of 2026-07-13.</xltc:text>
  </xltc:threadedComment>
  <xltc:threadedComment ref="C35" dT="2026-07-13T17:50:18.759" personId="{C75850AF-27EA-4AE6-B162-C8356A22B7EF}" id="{7AF2CB4E-9B9F-B856-9240-C291FCB127FC}">
    <xltc:text>Planning assumption for AI Shark Tank. Internally estimated for the Starting cash; replace with observed data as the beta produces results. As of 2026-07-13.</xltc:text>
  </xltc:threadedComment>
  <xltc:threadedComment ref="D35" dT="2026-07-13T17:50:18.759" personId="{C75850AF-27EA-4AE6-B162-C8356A22B7EF}" id="{D6E79BB6-E8F0-BC8F-D75A-5503165FCC43}">
    <xltc:text>Planning assumption for AI Shark Tank. Internally estimated for the Starting cash; replace with observed data as the beta produces results. As of 2026-07-13.</xltc:text>
  </xltc:threadedComment>
  <xltc:threadedComment ref="E35" dT="2026-07-13T17:50:18.759" personId="{C75850AF-27EA-4AE6-B162-C8356A22B7EF}" id="{B99D299E-A079-0763-26E5-BFC70E39B95E}">
    <xltc:text>Planning assumption for AI Shark Tank. Internally estimated for the Starting cash; replace with observed data as the beta produces results. As of 2026-07-13.</xltc:text>
  </xltc:threadedComment>
  <xltc:threadedComment ref="C36" dT="2026-07-13T17:50:18.76" personId="{C75850AF-27EA-4AE6-B162-C8356A22B7EF}" id="{1E068F17-081E-603E-3AFB-EB1C01ADAFFC}">
    <xltc:text>Planning assumption for AI Shark Tank. Internally estimated for the Planned financing; replace with observed data as the beta produces results. As of 2026-07-13.</xltc:text>
  </xltc:threadedComment>
  <xltc:threadedComment ref="D36" dT="2026-07-13T17:50:18.76" personId="{C75850AF-27EA-4AE6-B162-C8356A22B7EF}" id="{79283A46-BFFF-B41B-FF30-5319BE8EEE09}">
    <xltc:text>Planning assumption for AI Shark Tank. Internally estimated for the Planned financing; replace with observed data as the beta produces results. As of 2026-07-13.</xltc:text>
  </xltc:threadedComment>
  <xltc:threadedComment ref="E36" dT="2026-07-13T17:50:18.76" personId="{C75850AF-27EA-4AE6-B162-C8356A22B7EF}" id="{29CE8D9E-9606-5B83-769A-EC4A5C231B00}">
    <xltc:text>Planning assumption for AI Shark Tank. Internally estimated for the Planned financing; replace with observed data as the beta produces results. As of 2026-07-13.</xltc:text>
  </xltc:threadedComment>
  <xltc:threadedComment ref="C37" dT="2026-07-13T17:50:18.76" personId="{C75850AF-27EA-4AE6-B162-C8356A22B7EF}" id="{79709D0C-5FBC-FFE0-1052-580103B6CFC0}">
    <xltc:text>Planning assumption for AI Shark Tank. Internally estimated for the Financing month; replace with observed data as the beta produces results. As of 2026-07-13.</xltc:text>
  </xltc:threadedComment>
  <xltc:threadedComment ref="D37" dT="2026-07-13T17:50:18.76" personId="{C75850AF-27EA-4AE6-B162-C8356A22B7EF}" id="{96A6D96D-22CB-0B26-06E8-55D05EC5B295}">
    <xltc:text>Planning assumption for AI Shark Tank. Internally estimated for the Financing month; replace with observed data as the beta produces results. As of 2026-07-13.</xltc:text>
  </xltc:threadedComment>
  <xltc:threadedComment ref="E37" dT="2026-07-13T17:50:18.76" personId="{C75850AF-27EA-4AE6-B162-C8356A22B7EF}" id="{A3A8C7E5-5BF8-7090-8233-2D1270D49657}">
    <xltc:text>Planning assumption for AI Shark Tank. Internally estimated for the Financing month; replace with observed data as the beta produces results. As of 2026-07-13.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2804b3b71249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7cba5eeaad0940dd" /><Relationship Type="http://schemas.openxmlformats.org/officeDocument/2006/relationships/vmlDrawing" Target="/xl/drawings/vmldrawing.vml" Id="Rf8449dc88ba64d83" /><Relationship Type="http://schemas.microsoft.com/office/2017/10/relationships/threadedComment" Target="/xl/threadedcomments/threadedcomment.xml" Id="R51aecc0931f343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4" max="14" width="12" hidden="0" customWidth="1"/>
    <x:col min="15" max="15" width="12" hidden="0" customWidth="1"/>
    <x:col min="16" max="16" width="12" hidden="0" customWidth="1"/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241" t="str">
        <x:v>AI Shark Tank — Financial Model</x:v>
      </x:c>
      <x:c r="B1" s="241" t="str">
        <x:v>AI Shark Tank — Financial Model</x:v>
      </x:c>
      <x:c r="C1" s="241" t="str">
        <x:v>AI Shark Tank — Financial Model</x:v>
      </x:c>
      <x:c r="D1" s="241" t="str">
        <x:v>AI Shark Tank — Financial Model</x:v>
      </x:c>
      <x:c r="E1" s="241" t="str">
        <x:v>AI Shark Tank — Financial Model</x:v>
      </x:c>
      <x:c r="F1" s="241" t="str">
        <x:v>AI Shark Tank — Financial Model</x:v>
      </x:c>
      <x:c r="G1" s="241" t="str">
        <x:v>AI Shark Tank — Financial Model</x:v>
      </x:c>
      <x:c r="H1" s="241" t="str">
        <x:v>AI Shark Tank — Financial Model</x:v>
      </x:c>
      <x:c r="I1" s="241" t="str">
        <x:v>AI Shark Tank — Financial Model</x:v>
      </x:c>
      <x:c r="J1" s="241" t="str">
        <x:v>AI Shark Tank — Financial Model</x:v>
      </x:c>
      <x:c r="K1" s="241" t="str">
        <x:v>AI Shark Tank — Financial Model</x:v>
      </x:c>
      <x:c r="L1" s="241" t="str">
        <x:v>AI Shark Tank — Financial Model</x:v>
      </x:c>
      <x:c r="M1" s="134"/>
      <x:c r="N1" s="134" t="str">
        <x:v>Month</x:v>
      </x:c>
      <x:c r="O1" s="134" t="str">
        <x:v>Revenue</x:v>
      </x:c>
      <x:c r="P1" s="134" t="str">
        <x:v>Ending Cash</x:v>
      </x:c>
    </x:row>
    <x:row r="2" ht="26" customHeight="1">
      <x:c r="A2" s="110" t="str">
        <x:v>36-month planning model | Scenario controlled on Assumptions tab | USD | Monthly forecast beginning Aug 2026</x:v>
      </x:c>
      <x:c r="B2" s="110" t="str">
        <x:v>36-month planning model | Scenario controlled on Assumptions tab | USD | Monthly forecast beginning Aug 2026</x:v>
      </x:c>
      <x:c r="C2" s="110" t="str">
        <x:v>36-month planning model | Scenario controlled on Assumptions tab | USD | Monthly forecast beginning Aug 2026</x:v>
      </x:c>
      <x:c r="D2" s="110" t="str">
        <x:v>36-month planning model | Scenario controlled on Assumptions tab | USD | Monthly forecast beginning Aug 2026</x:v>
      </x:c>
      <x:c r="E2" s="110" t="str">
        <x:v>36-month planning model | Scenario controlled on Assumptions tab | USD | Monthly forecast beginning Aug 2026</x:v>
      </x:c>
      <x:c r="F2" s="110" t="str">
        <x:v>36-month planning model | Scenario controlled on Assumptions tab | USD | Monthly forecast beginning Aug 2026</x:v>
      </x:c>
      <x:c r="G2" s="110" t="str">
        <x:v>36-month planning model | Scenario controlled on Assumptions tab | USD | Monthly forecast beginning Aug 2026</x:v>
      </x:c>
      <x:c r="H2" s="110" t="str">
        <x:v>36-month planning model | Scenario controlled on Assumptions tab | USD | Monthly forecast beginning Aug 2026</x:v>
      </x:c>
      <x:c r="I2" s="110" t="str">
        <x:v>36-month planning model | Scenario controlled on Assumptions tab | USD | Monthly forecast beginning Aug 2026</x:v>
      </x:c>
      <x:c r="J2" s="110" t="str">
        <x:v>36-month planning model | Scenario controlled on Assumptions tab | USD | Monthly forecast beginning Aug 2026</x:v>
      </x:c>
      <x:c r="K2" s="110" t="str">
        <x:v>36-month planning model | Scenario controlled on Assumptions tab | USD | Monthly forecast beginning Aug 2026</x:v>
      </x:c>
      <x:c r="L2" s="110" t="str">
        <x:v>36-month planning model | Scenario controlled on Assumptions tab | USD | Monthly forecast beginning Aug 2026</x:v>
      </x:c>
      <x:c r="M2" s="134"/>
      <x:c r="N2" s="134" t="str">
        <x:f>TEXT('Forecast'!B4,"mmm-yy")</x:f>
        <x:v>Aug-26</x:v>
      </x:c>
      <x:c r="O2" s="135" t="n">
        <x:f>'Forecast'!B32</x:f>
        <x:v>529.2</x:v>
      </x:c>
      <x:c r="P2" s="135" t="n">
        <x:f>'Forecast'!B62</x:f>
        <x:v>46121.2532</x:v>
      </x:c>
    </x:row>
    <x:row r="3">
      <x:c r="A3" s="134"/>
      <x:c r="B3" s="134"/>
      <x:c r="C3" s="134"/>
      <x:c r="D3" s="134"/>
      <x:c r="E3" s="134"/>
      <x:c r="F3" s="134"/>
      <x:c r="G3" s="134"/>
      <x:c r="H3" s="134"/>
      <x:c r="I3" s="134"/>
      <x:c r="J3" s="134"/>
      <x:c r="K3" s="134"/>
      <x:c r="L3" s="134"/>
      <x:c r="M3" s="134"/>
      <x:c r="N3" s="134" t="str">
        <x:f>TEXT('Forecast'!C4,"mmm-yy")</x:f>
        <x:v>Sep-26</x:v>
      </x:c>
      <x:c r="O3" s="135" t="n">
        <x:f>'Forecast'!C32</x:f>
        <x:v>1087.1640000000002</x:v>
      </x:c>
      <x:c r="P3" s="135" t="n">
        <x:f>'Forecast'!C62</x:f>
        <x:v>42654.393844</x:v>
      </x:c>
    </x:row>
    <x:row r="4">
      <x:c r="A4" s="136" t="str">
        <x:v>Selected scenario</x:v>
      </x:c>
      <x:c r="B4" s="137" t="str">
        <x:f>'Assumptions'!B4</x:f>
        <x:v>Base</x:v>
      </x:c>
      <x:c r="C4" s="138"/>
      <x:c r="D4" s="138" t="str">
        <x:v>Model status</x:v>
      </x:c>
      <x:c r="E4" s="139" t="str">
        <x:f>'Checks'!B3</x:f>
        <x:v>PASS</x:v>
      </x:c>
      <x:c r="F4" s="134"/>
      <x:c r="G4" s="134"/>
      <x:c r="H4" s="134"/>
      <x:c r="I4" s="134"/>
      <x:c r="J4" s="134"/>
      <x:c r="K4" s="134"/>
      <x:c r="L4" s="134"/>
      <x:c r="M4" s="134"/>
      <x:c r="N4" s="134" t="str">
        <x:f>TEXT('Forecast'!D4,"mmm-yy")</x:f>
        <x:v>Oct-26</x:v>
      </x:c>
      <x:c r="O4" s="135" t="n">
        <x:f>'Forecast'!D32</x:f>
        <x:v>1677.8444400000003</x:v>
      </x:c>
      <x:c r="P4" s="135" t="n">
        <x:f>'Forecast'!D62</x:f>
        <x:v>39623.737551239996</x:v>
      </x:c>
    </x:row>
    <x:row r="5">
      <x:c r="A5" s="134"/>
      <x:c r="B5" s="134"/>
      <x:c r="C5" s="134"/>
      <x:c r="D5" s="134"/>
      <x:c r="E5" s="134"/>
      <x:c r="F5" s="134"/>
      <x:c r="G5" s="134"/>
      <x:c r="H5" s="134"/>
      <x:c r="I5" s="134"/>
      <x:c r="J5" s="134"/>
      <x:c r="K5" s="134"/>
      <x:c r="L5" s="134"/>
      <x:c r="M5" s="134"/>
      <x:c r="N5" s="134" t="str">
        <x:f>TEXT('Forecast'!E4,"mmm-yy")</x:f>
        <x:v>Nov-26</x:v>
      </x:c>
      <x:c r="O5" s="135" t="n">
        <x:f>'Forecast'!E32</x:f>
        <x:v>2305.5516540000003</x:v>
      </x:c>
      <x:c r="P5" s="135" t="n">
        <x:f>'Forecast'!E62</x:f>
        <x:v>37057.17294187399</x:v>
      </x:c>
    </x:row>
    <x:row r="6">
      <x:c r="A6" s="134"/>
      <x:c r="B6" s="134"/>
      <x:c r="C6" s="134"/>
      <x:c r="D6" s="134"/>
      <x:c r="E6" s="134"/>
      <x:c r="F6" s="134"/>
      <x:c r="G6" s="134"/>
      <x:c r="H6" s="134"/>
      <x:c r="I6" s="134"/>
      <x:c r="J6" s="134"/>
      <x:c r="K6" s="134"/>
      <x:c r="L6" s="134"/>
      <x:c r="M6" s="134"/>
      <x:c r="N6" s="134" t="str">
        <x:f>TEXT('Forecast'!F4,"mmm-yy")</x:f>
        <x:v>Dec-26</x:v>
      </x:c>
      <x:c r="O6" s="135" t="n">
        <x:f>'Forecast'!F32</x:f>
        <x:v>2974.995682812001</x:v>
      </x:c>
      <x:c r="P6" s="135" t="n">
        <x:f>'Forecast'!F62</x:f>
        <x:v>34986.503135630446</x:v>
      </x:c>
    </x:row>
    <x:row r="7">
      <x:c r="A7" s="140" t="str">
        <x:v>Year 1 Revenue</x:v>
      </x:c>
      <x:c r="B7" s="141"/>
      <x:c r="C7" s="142"/>
      <x:c r="D7" s="134"/>
      <x:c r="E7" s="140" t="str">
        <x:v>Year 3 Revenue</x:v>
      </x:c>
      <x:c r="F7" s="141"/>
      <x:c r="G7" s="142"/>
      <x:c r="H7" s="134"/>
      <x:c r="I7" s="140" t="str">
        <x:v>Month 36 MRR</x:v>
      </x:c>
      <x:c r="J7" s="141"/>
      <x:c r="K7" s="142"/>
      <x:c r="L7" s="134"/>
      <x:c r="M7" s="134"/>
      <x:c r="N7" s="134" t="str">
        <x:f>TEXT('Forecast'!G4,"mmm-yy")</x:f>
        <x:v>Jan-27</x:v>
      </x:c>
      <x:c r="O7" s="135" t="n">
        <x:f>'Forecast'!G32</x:f>
        <x:v>3691.332559310041</x:v>
      </x:c>
      <x:c r="P7" s="135" t="n">
        <x:f>'Forecast'!G62</x:f>
        <x:v>33447.82778504426</x:v>
      </x:c>
    </x:row>
    <x:row r="8">
      <x:c r="A8" s="119" t="n">
        <x:f>SUM('Forecast'!B32:M32)</x:f>
        <x:v>52870.84646712899</x:v>
      </x:c>
      <x:c r="B8" s="143"/>
      <x:c r="C8" s="144"/>
      <x:c r="D8" s="134"/>
      <x:c r="E8" s="119" t="n">
        <x:f>SUM('Forecast'!Z32:AK32)</x:f>
        <x:v>862843.9805405941</x:v>
      </x:c>
      <x:c r="F8" s="143"/>
      <x:c r="G8" s="144"/>
      <x:c r="H8" s="134"/>
      <x:c r="I8" s="119" t="n">
        <x:f>'Forecast'!AK33</x:f>
        <x:v>118023.57644729392</x:v>
      </x:c>
      <x:c r="J8" s="143"/>
      <x:c r="K8" s="144"/>
      <x:c r="L8" s="134"/>
      <x:c r="M8" s="134"/>
      <x:c r="N8" s="134" t="str">
        <x:f>TEXT('Forecast'!H4,"mmm-yy")</x:f>
        <x:v>Feb-27</x:v>
      </x:c>
      <x:c r="O8" s="135" t="n">
        <x:f>'Forecast'!H32</x:f>
        <x:v>4460.215585374286</x:v>
      </x:c>
      <x:c r="P8" s="135" t="n">
        <x:f>'Forecast'!H62</x:f>
        <x:v>28481.970065232028</x:v>
      </x:c>
    </x:row>
    <x:row r="9">
      <x:c r="A9" s="145"/>
      <x:c r="B9" s="143"/>
      <x:c r="C9" s="144"/>
      <x:c r="D9" s="134"/>
      <x:c r="E9" s="145"/>
      <x:c r="F9" s="143"/>
      <x:c r="G9" s="144"/>
      <x:c r="H9" s="134"/>
      <x:c r="I9" s="145"/>
      <x:c r="J9" s="143"/>
      <x:c r="K9" s="144"/>
      <x:c r="L9" s="134"/>
      <x:c r="M9" s="134"/>
      <x:c r="N9" s="134" t="str">
        <x:f>TEXT('Forecast'!I4,"mmm-yy")</x:f>
        <x:v>Mar-27</x:v>
      </x:c>
      <x:c r="O9" s="135" t="n">
        <x:f>'Forecast'!I32</x:f>
        <x:v>5287.852179163343</x:v>
      </x:c>
      <x:c r="P9" s="135" t="n">
        <x:f>'Forecast'!I62</x:f>
        <x:v>24134.953558316054</x:v>
      </x:c>
    </x:row>
    <x:row r="10">
      <x:c r="A10" s="146"/>
      <x:c r="B10" s="147"/>
      <x:c r="C10" s="148"/>
      <x:c r="D10" s="134"/>
      <x:c r="E10" s="146"/>
      <x:c r="F10" s="147"/>
      <x:c r="G10" s="148"/>
      <x:c r="H10" s="134"/>
      <x:c r="I10" s="146"/>
      <x:c r="J10" s="147"/>
      <x:c r="K10" s="148"/>
      <x:c r="L10" s="134"/>
      <x:c r="M10" s="134"/>
      <x:c r="N10" s="134" t="str">
        <x:f>TEXT('Forecast'!J4,"mmm-yy")</x:f>
        <x:v>Apr-27</x:v>
      </x:c>
      <x:c r="O10" s="135" t="n">
        <x:f>'Forecast'!J32</x:f>
        <x:v>6181.06693770925</x:v>
      </x:c>
      <x:c r="P10" s="135" t="n">
        <x:f>'Forecast'!J62</x:f>
        <x:v>20458.53454614021</x:v>
      </x:c>
    </x:row>
    <x:row r="11">
      <x:c r="A11" s="134"/>
      <x:c r="B11" s="134"/>
      <x:c r="C11" s="134"/>
      <x:c r="D11" s="134"/>
      <x:c r="E11" s="134"/>
      <x:c r="F11" s="134"/>
      <x:c r="G11" s="134"/>
      <x:c r="H11" s="134"/>
      <x:c r="I11" s="134"/>
      <x:c r="J11" s="134"/>
      <x:c r="K11" s="134"/>
      <x:c r="L11" s="134"/>
      <x:c r="M11" s="134"/>
      <x:c r="N11" s="134" t="str">
        <x:f>TEXT('Forecast'!K4,"mmm-yy")</x:f>
        <x:v>May-27</x:v>
      </x:c>
      <x:c r="O11" s="135" t="n">
        <x:f>'Forecast'!K32</x:f>
        <x:v>7147.371633992792</x:v>
      </x:c>
      <x:c r="P11" s="135" t="n">
        <x:f>'Forecast'!K62</x:f>
        <x:v>15010.79586686033</x:v>
      </x:c>
    </x:row>
    <x:row r="12">
      <x:c r="A12" s="140" t="str">
        <x:v>Month 36 Gross Margin</x:v>
      </x:c>
      <x:c r="B12" s="141"/>
      <x:c r="C12" s="142"/>
      <x:c r="D12" s="134"/>
      <x:c r="E12" s="140" t="str">
        <x:v>Minimum Cash</x:v>
      </x:c>
      <x:c r="F12" s="141"/>
      <x:c r="G12" s="142"/>
      <x:c r="H12" s="134"/>
      <x:c r="I12" s="140" t="str">
        <x:v>Ending Cash</x:v>
      </x:c>
      <x:c r="J12" s="141"/>
      <x:c r="K12" s="142"/>
      <x:c r="L12" s="134"/>
      <x:c r="M12" s="134"/>
      <x:c r="N12" s="134" t="str">
        <x:f>TEXT('Forecast'!L4,"mmm-yy")</x:f>
        <x:v>Jun-27</x:v>
      </x:c>
      <x:c r="O12" s="135" t="n">
        <x:f>'Forecast'!L32</x:f>
        <x:v>8195.04295054145</x:v>
      </x:c>
      <x:c r="P12" s="135" t="n">
        <x:f>'Forecast'!L62</x:f>
        <x:v>10356.809207157385</x:v>
      </x:c>
    </x:row>
    <x:row r="13">
      <x:c r="A13" s="126" t="n">
        <x:f>'Forecast'!AK46</x:f>
        <x:v>0.8936291546604545</x:v>
      </x:c>
      <x:c r="B13" s="143"/>
      <x:c r="C13" s="144"/>
      <x:c r="D13" s="134"/>
      <x:c r="E13" s="119" t="n">
        <x:f>MIN('Forecast'!B62:AK62)</x:f>
        <x:v>6569.373500958904</x:v>
      </x:c>
      <x:c r="F13" s="143"/>
      <x:c r="G13" s="144"/>
      <x:c r="H13" s="134"/>
      <x:c r="I13" s="119" t="n">
        <x:f>'Forecast'!AK62</x:f>
        <x:v>784685.0144751717</x:v>
      </x:c>
      <x:c r="J13" s="143"/>
      <x:c r="K13" s="144"/>
      <x:c r="L13" s="134"/>
      <x:c r="M13" s="134"/>
      <x:c r="N13" s="134" t="str">
        <x:f>TEXT('Forecast'!M4,"mmm-yy")</x:f>
        <x:v>Jul-27</x:v>
      </x:c>
      <x:c r="O13" s="135" t="n">
        <x:f>'Forecast'!M32</x:f>
        <x:v>9333.208844225834</x:v>
      </x:c>
      <x:c r="P13" s="135" t="n">
        <x:f>'Forecast'!M62</x:f>
        <x:v>6569.373500958904</x:v>
      </x:c>
    </x:row>
    <x:row r="14">
      <x:c r="A14" s="145"/>
      <x:c r="B14" s="143"/>
      <x:c r="C14" s="144"/>
      <x:c r="D14" s="134"/>
      <x:c r="E14" s="145"/>
      <x:c r="F14" s="143"/>
      <x:c r="G14" s="144"/>
      <x:c r="H14" s="134"/>
      <x:c r="I14" s="145"/>
      <x:c r="J14" s="143"/>
      <x:c r="K14" s="144"/>
      <x:c r="L14" s="134"/>
      <x:c r="M14" s="134"/>
      <x:c r="N14" s="134" t="str">
        <x:f>TEXT('Forecast'!N4,"mmm-yy")</x:f>
        <x:v>Aug-27</x:v>
      </x:c>
      <x:c r="O14" s="135" t="n">
        <x:f>'Forecast'!N32</x:f>
        <x:v>10571.944540462458</x:v>
      </x:c>
      <x:c r="P14" s="135" t="n">
        <x:f>'Forecast'!N62</x:f>
        <x:v>153729.8379974416</x:v>
      </x:c>
    </x:row>
    <x:row r="15">
      <x:c r="A15" s="146"/>
      <x:c r="B15" s="147"/>
      <x:c r="C15" s="148"/>
      <x:c r="D15" s="134"/>
      <x:c r="E15" s="146"/>
      <x:c r="F15" s="147"/>
      <x:c r="G15" s="148"/>
      <x:c r="H15" s="134"/>
      <x:c r="I15" s="146"/>
      <x:c r="J15" s="147"/>
      <x:c r="K15" s="148"/>
      <x:c r="L15" s="134"/>
      <x:c r="M15" s="134"/>
      <x:c r="N15" s="134" t="str">
        <x:f>TEXT('Forecast'!O4,"mmm-yy")</x:f>
        <x:v>Sep-27</x:v>
      </x:c>
      <x:c r="O15" s="135" t="n">
        <x:f>'Forecast'!O32</x:f>
        <x:v>11922.379270747377</x:v>
      </x:c>
      <x:c r="P15" s="135" t="n">
        <x:f>'Forecast'!O62</x:f>
        <x:v>151929.01955665916</x:v>
      </x:c>
    </x:row>
    <x:row r="16">
      <x:c r="A16" s="134"/>
      <x:c r="B16" s="134"/>
      <x:c r="C16" s="134"/>
      <x:c r="D16" s="134"/>
      <x:c r="E16" s="134"/>
      <x:c r="F16" s="134"/>
      <x:c r="G16" s="134"/>
      <x:c r="H16" s="134"/>
      <x:c r="I16" s="134"/>
      <x:c r="J16" s="134"/>
      <x:c r="K16" s="134"/>
      <x:c r="L16" s="134"/>
      <x:c r="M16" s="134"/>
      <x:c r="N16" s="134" t="str">
        <x:f>TEXT('Forecast'!P4,"mmm-yy")</x:f>
        <x:v>Oct-27</x:v>
      </x:c>
      <x:c r="O16" s="135" t="n">
        <x:f>'Forecast'!P32</x:f>
        <x:v>13396.814996785444</x:v>
      </x:c>
      <x:c r="P16" s="135" t="n">
        <x:f>'Forecast'!P62</x:f>
        <x:v>151268.22484261976</x:v>
      </x:c>
    </x:row>
    <x:row r="17">
      <x:c r="A17" s="134"/>
      <x:c r="B17" s="134"/>
      <x:c r="C17" s="134"/>
      <x:c r="D17" s="134"/>
      <x:c r="E17" s="134"/>
      <x:c r="F17" s="134"/>
      <x:c r="G17" s="134"/>
      <x:c r="H17" s="134"/>
      <x:c r="I17" s="134"/>
      <x:c r="J17" s="134"/>
      <x:c r="K17" s="134"/>
      <x:c r="L17" s="134"/>
      <x:c r="M17" s="134"/>
      <x:c r="N17" s="134" t="str">
        <x:f>TEXT('Forecast'!Q4,"mmm-yy")</x:f>
        <x:v>Nov-27</x:v>
      </x:c>
      <x:c r="O17" s="135" t="n">
        <x:f>'Forecast'!Q32</x:f>
        <x:v>15008.858509054051</x:v>
      </x:c>
      <x:c r="P17" s="135" t="n">
        <x:f>'Forecast'!Q62</x:f>
        <x:v>151860.38932469918</x:v>
      </x:c>
    </x:row>
    <x:row r="18">
      <x:c r="A18" s="108" t="str">
        <x:v>ANNUAL SUMMARY</x:v>
      </x:c>
      <x:c r="B18" s="108" t="str">
        <x:v>ANNUAL SUMMARY</x:v>
      </x:c>
      <x:c r="C18" s="108" t="str">
        <x:v>ANNUAL SUMMARY</x:v>
      </x:c>
      <x:c r="D18" s="108" t="str">
        <x:v>ANNUAL SUMMARY</x:v>
      </x:c>
      <x:c r="E18" s="108" t="str">
        <x:v>ANNUAL SUMMARY</x:v>
      </x:c>
      <x:c r="F18" s="108" t="str">
        <x:v>REVENUE &amp; CASH TREND</x:v>
      </x:c>
      <x:c r="G18" s="108"/>
      <x:c r="H18" s="108"/>
      <x:c r="I18" s="108"/>
      <x:c r="J18" s="108"/>
      <x:c r="K18" s="108"/>
      <x:c r="L18" s="108"/>
      <x:c r="M18" s="134"/>
      <x:c r="N18" s="134" t="str">
        <x:f>TEXT('Forecast'!R4,"mmm-yy")</x:f>
        <x:v>Dec-27</x:v>
      </x:c>
      <x:c r="O18" s="135" t="n">
        <x:f>'Forecast'!R32</x:f>
        <x:v>16773.56844924933</x:v>
      </x:c>
      <x:c r="P18" s="135" t="n">
        <x:f>'Forecast'!R62</x:f>
        <x:v>153831.34638420897</x:v>
      </x:c>
    </x:row>
    <x:row r="19">
      <x:c r="A19" s="149" t="str">
        <x:v>Metric</x:v>
      </x:c>
      <x:c r="B19" s="149" t="str">
        <x:v>Year 1</x:v>
      </x:c>
      <x:c r="C19" s="149" t="str">
        <x:v>Year 2</x:v>
      </x:c>
      <x:c r="D19" s="149" t="str">
        <x:v>Year 3</x:v>
      </x:c>
      <x:c r="E19" s="134"/>
      <x:c r="F19" s="134"/>
      <x:c r="G19" s="134"/>
      <x:c r="H19" s="134"/>
      <x:c r="I19" s="134"/>
      <x:c r="J19" s="134"/>
      <x:c r="K19" s="134"/>
      <x:c r="L19" s="134"/>
      <x:c r="M19" s="134"/>
      <x:c r="N19" s="134" t="str">
        <x:f>TEXT('Forecast'!S4,"mmm-yy")</x:f>
        <x:v>Jan-28</x:v>
      </x:c>
      <x:c r="O19" s="135" t="n">
        <x:f>'Forecast'!S32</x:f>
        <x:v>18707.61898672341</x:v>
      </x:c>
      <x:c r="P19" s="135" t="n">
        <x:f>'Forecast'!S62</x:f>
        <x:v>157321.2413708432</x:v>
      </x:c>
    </x:row>
    <x:row r="20">
      <x:c r="A20" s="134" t="str">
        <x:v>Revenue</x:v>
      </x:c>
      <x:c r="B20" s="135" t="n">
        <x:f>SUM('Forecast'!B32:M32)</x:f>
        <x:v>52870.84646712899</x:v>
      </x:c>
      <x:c r="C20" s="135" t="n">
        <x:f>SUM('Forecast'!N32:Y32)</x:f>
        <x:v>251324.5560920833</x:v>
      </x:c>
      <x:c r="D20" s="135" t="n">
        <x:f>SUM('Forecast'!Z32:AK32)</x:f>
        <x:v>862843.9805405941</x:v>
      </x:c>
      <x:c r="E20" s="134"/>
      <x:c r="F20" s="134"/>
      <x:c r="G20" s="134"/>
      <x:c r="H20" s="134"/>
      <x:c r="I20" s="134"/>
      <x:c r="J20" s="134"/>
      <x:c r="K20" s="134"/>
      <x:c r="L20" s="134"/>
      <x:c r="M20" s="134"/>
      <x:c r="N20" s="134" t="str">
        <x:f>TEXT('Forecast'!T4,"mmm-yy")</x:f>
        <x:v>Feb-28</x:v>
      </x:c>
      <x:c r="O20" s="135" t="n">
        <x:f>'Forecast'!T32</x:f>
        <x:v>20829.48208098812</x:v>
      </x:c>
      <x:c r="P20" s="135" t="n">
        <x:f>'Forecast'!T62</x:f>
        <x:v>162486.10718273182</x:v>
      </x:c>
    </x:row>
    <x:row r="21">
      <x:c r="A21" s="134" t="str">
        <x:v>Gross profit</x:v>
      </x:c>
      <x:c r="B21" s="135" t="n">
        <x:f>SUM('Forecast'!B45:M45)</x:f>
        <x:v>47097.87795843938</x:v>
      </x:c>
      <x:c r="C21" s="135" t="n">
        <x:f>SUM('Forecast'!N45:Y45)</x:f>
        <x:v>224115.897363102</x:v>
      </x:c>
      <x:c r="D21" s="135" t="n">
        <x:f>SUM('Forecast'!Z45:AK45)</x:f>
        <x:v>770610.2671775338</x:v>
      </x:c>
      <x:c r="E21" s="134"/>
      <x:c r="F21" s="134"/>
      <x:c r="G21" s="134"/>
      <x:c r="H21" s="134"/>
      <x:c r="I21" s="134"/>
      <x:c r="J21" s="134"/>
      <x:c r="K21" s="134"/>
      <x:c r="L21" s="134"/>
      <x:c r="M21" s="134"/>
      <x:c r="N21" s="134" t="str">
        <x:f>TEXT('Forecast'!U4,"mmm-yy")</x:f>
        <x:v>Mar-28</x:v>
      </x:c>
      <x:c r="O21" s="135" t="n">
        <x:f>'Forecast'!U32</x:f>
        <x:v>23159.630488158757</x:v>
      </x:c>
      <x:c r="P21" s="135" t="n">
        <x:f>'Forecast'!U62</x:f>
        <x:v>169499.61987532477</x:v>
      </x:c>
    </x:row>
    <x:row r="22">
      <x:c r="A22" s="134" t="str">
        <x:v>Operating expenses</x:v>
      </x:c>
      <x:c r="B22" s="135" t="n">
        <x:f>SUM('Forecast'!B55:M55)</x:f>
        <x:v>90528.50445748046</x:v>
      </x:c>
      <x:c r="C22" s="135" t="n">
        <x:f>SUM('Forecast'!N55:Y55)</x:f>
        <x:v>160438.07233411385</x:v>
      </x:c>
      <x:c r="D22" s="135" t="n">
        <x:f>SUM('Forecast'!Z55:AK55)</x:f>
        <x:v>206172.45123230905</x:v>
      </x:c>
      <x:c r="E22" s="134"/>
      <x:c r="F22" s="134"/>
      <x:c r="G22" s="134"/>
      <x:c r="H22" s="134"/>
      <x:c r="I22" s="134"/>
      <x:c r="J22" s="134"/>
      <x:c r="K22" s="134"/>
      <x:c r="L22" s="134"/>
      <x:c r="M22" s="134"/>
      <x:c r="N22" s="134" t="str">
        <x:f>TEXT('Forecast'!V4,"mmm-yy")</x:f>
        <x:v>Apr-28</x:v>
      </x:c>
      <x:c r="O22" s="135" t="n">
        <x:f>'Forecast'!V32</x:f>
        <x:v>25720.763921664406</x:v>
      </x:c>
      <x:c r="P22" s="135" t="n">
        <x:f>'Forecast'!V62</x:f>
        <x:v>178555.05496225253</x:v>
      </x:c>
    </x:row>
    <x:row r="23">
      <x:c r="A23" s="150" t="str">
        <x:v>Operating profit / (loss)</x:v>
      </x:c>
      <x:c r="B23" s="151" t="n">
        <x:f>SUM('Forecast'!B56:M56)</x:f>
        <x:v>-43430.626499041085</x:v>
      </x:c>
      <x:c r="C23" s="151" t="n">
        <x:f>SUM('Forecast'!N56:Y56)</x:f>
        <x:v>63677.82502898813</x:v>
      </x:c>
      <x:c r="D23" s="151" t="n">
        <x:f>SUM('Forecast'!Z56:AK56)</x:f>
        <x:v>564437.8159452247</x:v>
      </x:c>
      <x:c r="E23" s="134"/>
      <x:c r="F23" s="134"/>
      <x:c r="G23" s="134"/>
      <x:c r="H23" s="134"/>
      <x:c r="I23" s="134"/>
      <x:c r="J23" s="134"/>
      <x:c r="K23" s="134"/>
      <x:c r="L23" s="134"/>
      <x:c r="M23" s="134"/>
      <x:c r="N23" s="134" t="str">
        <x:f>TEXT('Forecast'!W4,"mmm-yy")</x:f>
        <x:v>May-28</x:v>
      </x:c>
      <x:c r="O23" s="135" t="n">
        <x:f>'Forecast'!W32</x:f>
        <x:v>28538.061059820946</x:v>
      </x:c>
      <x:c r="P23" s="135" t="n">
        <x:f>'Forecast'!W62</x:f>
        <x:v>189867.46748242606</x:v>
      </x:c>
    </x:row>
    <x:row r="24">
      <x:c r="A24" s="134" t="str">
        <x:v>Ending MRR</x:v>
      </x:c>
      <x:c r="B24" s="135" t="n">
        <x:f>'Forecast'!M33</x:f>
        <x:v>9333.208844225834</x:v>
      </x:c>
      <x:c r="C24" s="135" t="n">
        <x:f>'Forecast'!Y33</x:f>
        <x:v>35055.97337994378</x:v>
      </x:c>
      <x:c r="D24" s="135" t="n">
        <x:f>'Forecast'!AK33</x:f>
        <x:v>118023.57644729392</x:v>
      </x:c>
      <x:c r="E24" s="134"/>
      <x:c r="F24" s="134"/>
      <x:c r="G24" s="134"/>
      <x:c r="H24" s="134"/>
      <x:c r="I24" s="134"/>
      <x:c r="J24" s="134"/>
      <x:c r="K24" s="134"/>
      <x:c r="L24" s="134"/>
      <x:c r="M24" s="134"/>
      <x:c r="N24" s="134" t="str">
        <x:f>TEXT('Forecast'!X4,"mmm-yy")</x:f>
        <x:v>Jun-28</x:v>
      </x:c>
      <x:c r="O24" s="135" t="n">
        <x:f>'Forecast'!X32</x:f>
        <x:v>31639.460408485247</x:v>
      </x:c>
      <x:c r="P24" s="135" t="n">
        <x:f>'Forecast'!X62</x:f>
        <x:v>203676.1216019014</x:v>
      </x:c>
    </x:row>
    <x:row r="25">
      <x:c r="A25" s="134" t="str">
        <x:v>Ending cash</x:v>
      </x:c>
      <x:c r="B25" s="135" t="n">
        <x:f>'Forecast'!M62</x:f>
        <x:v>6569.373500958904</x:v>
      </x:c>
      <x:c r="C25" s="135" t="n">
        <x:f>'Forecast'!Y62</x:f>
        <x:v>220247.19852994703</x:v>
      </x:c>
      <x:c r="D25" s="135" t="n">
        <x:f>'Forecast'!AK62</x:f>
        <x:v>784685.0144751717</x:v>
      </x:c>
      <x:c r="E25" s="134"/>
      <x:c r="F25" s="134"/>
      <x:c r="G25" s="134"/>
      <x:c r="H25" s="134"/>
      <x:c r="I25" s="134"/>
      <x:c r="J25" s="134"/>
      <x:c r="K25" s="134"/>
      <x:c r="L25" s="134"/>
      <x:c r="M25" s="134"/>
      <x:c r="N25" s="134" t="str">
        <x:f>TEXT('Forecast'!Y4,"mmm-yy")</x:f>
        <x:v>Jul-28</x:v>
      </x:c>
      <x:c r="O25" s="135" t="n">
        <x:f>'Forecast'!Y32</x:f>
        <x:v>35055.97337994378</x:v>
      </x:c>
      <x:c r="P25" s="135" t="n">
        <x:f>'Forecast'!Y62</x:f>
        <x:v>220247.19852994703</x:v>
      </x:c>
    </x:row>
    <x:row r="26">
      <x:c r="A26" s="134"/>
      <x:c r="B26" s="134"/>
      <x:c r="C26" s="134"/>
      <x:c r="D26" s="134"/>
      <x:c r="E26" s="134"/>
      <x:c r="F26" s="134"/>
      <x:c r="G26" s="134"/>
      <x:c r="H26" s="134"/>
      <x:c r="I26" s="134"/>
      <x:c r="J26" s="134"/>
      <x:c r="K26" s="134"/>
      <x:c r="L26" s="134"/>
      <x:c r="M26" s="134"/>
      <x:c r="N26" s="134" t="str">
        <x:f>TEXT('Forecast'!Z4,"mmm-yy")</x:f>
        <x:v>Aug-28</x:v>
      </x:c>
      <x:c r="O26" s="135" t="n">
        <x:f>'Forecast'!Z32</x:f>
        <x:v>38822.03334386571</x:v>
      </x:c>
      <x:c r="P26" s="135" t="n">
        <x:f>'Forecast'!Z62</x:f>
        <x:v>239876.814893802</x:v>
      </x:c>
    </x:row>
    <x:row r="27">
      <x:c r="A27" s="134"/>
      <x:c r="B27" s="134"/>
      <x:c r="C27" s="134"/>
      <x:c r="D27" s="134"/>
      <x:c r="E27" s="134"/>
      <x:c r="F27" s="134"/>
      <x:c r="G27" s="134"/>
      <x:c r="H27" s="134"/>
      <x:c r="I27" s="134"/>
      <x:c r="J27" s="134"/>
      <x:c r="K27" s="134"/>
      <x:c r="L27" s="134"/>
      <x:c r="M27" s="134"/>
      <x:c r="N27" s="134" t="str">
        <x:f>TEXT('Forecast'!AA4,"mmm-yy")</x:f>
        <x:v>Sep-28</x:v>
      </x:c>
      <x:c r="O27" s="135" t="n">
        <x:f>'Forecast'!AA32</x:f>
        <x:v>42975.884847527406</x:v>
      </x:c>
      <x:c r="P27" s="135" t="n">
        <x:f>'Forecast'!AA62</x:f>
        <x:v>262894.3874777408</x:v>
      </x:c>
    </x:row>
    <x:row r="28">
      <x:c r="A28" s="108" t="str">
        <x:v>KEY UNIT ECONOMICS &amp; MILESTONES</x:v>
      </x:c>
      <x:c r="B28" s="108" t="str">
        <x:v>KEY UNIT ECONOMICS &amp; MILESTONES</x:v>
      </x:c>
      <x:c r="C28" s="108" t="str">
        <x:v>KEY UNIT ECONOMICS &amp; MILESTONES</x:v>
      </x:c>
      <x:c r="D28" s="108" t="str">
        <x:v>KEY UNIT ECONOMICS &amp; MILESTONES</x:v>
      </x:c>
      <x:c r="E28" s="108" t="str">
        <x:v>KEY UNIT ECONOMICS &amp; MILESTONES</x:v>
      </x:c>
      <x:c r="F28" s="108" t="str">
        <x:v>KEY UNIT ECONOMICS &amp; MILESTONES</x:v>
      </x:c>
      <x:c r="G28" s="134"/>
      <x:c r="H28" s="134"/>
      <x:c r="I28" s="134"/>
      <x:c r="J28" s="134"/>
      <x:c r="K28" s="134"/>
      <x:c r="L28" s="134"/>
      <x:c r="M28" s="134"/>
      <x:c r="N28" s="134" t="str">
        <x:f>TEXT('Forecast'!AB4,"mmm-yy")</x:f>
        <x:v>Oct-28</x:v>
      </x:c>
      <x:c r="O28" s="135" t="n">
        <x:f>'Forecast'!AB32</x:f>
        <x:v>47560.0176961424</x:v>
      </x:c>
      <x:c r="P28" s="135" t="n">
        <x:f>'Forecast'!AB62</x:f>
        <x:v>289666.38443619467</x:v>
      </x:c>
    </x:row>
    <x:row r="29">
      <x:c r="A29" s="149" t="str">
        <x:v>Metric</x:v>
      </x:c>
      <x:c r="B29" s="149" t="str">
        <x:v>Value</x:v>
      </x:c>
      <x:c r="C29" s="134"/>
      <x:c r="D29" s="134"/>
      <x:c r="E29" s="134"/>
      <x:c r="F29" s="134"/>
      <x:c r="G29" s="134"/>
      <x:c r="H29" s="134"/>
      <x:c r="I29" s="134"/>
      <x:c r="J29" s="134"/>
      <x:c r="K29" s="134"/>
      <x:c r="L29" s="134"/>
      <x:c r="M29" s="134"/>
      <x:c r="N29" s="134" t="str">
        <x:f>TEXT('Forecast'!AC4,"mmm-yy")</x:f>
        <x:v>Nov-28</x:v>
      </x:c>
      <x:c r="O29" s="135" t="n">
        <x:f>'Forecast'!AC32</x:f>
        <x:v>52621.651136218214</x:v>
      </x:c>
      <x:c r="P29" s="135" t="n">
        <x:f>'Forecast'!AC62</x:f>
        <x:v>320600.50779032457</x:v>
      </x:c>
    </x:row>
    <x:row r="30">
      <x:c r="A30" s="134" t="str">
        <x:v>Month 1 blended gross margin</x:v>
      </x:c>
      <x:c r="B30" s="152" t="n">
        <x:f>'Forecast'!B46</x:f>
        <x:v>0.8905011337868481</x:v>
      </x:c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 t="str">
        <x:f>TEXT('Forecast'!AD4,"mmm-yy")</x:f>
        <x:v>Dec-28</x:v>
      </x:c>
      <x:c r="O30" s="135" t="n">
        <x:f>'Forecast'!AD32</x:f>
        <x:v>58213.274002360835</x:v>
      </x:c>
      <x:c r="P30" s="135" t="n">
        <x:f>'Forecast'!AD62</x:f>
        <x:v>356150.3572713588</x:v>
      </x:c>
    </x:row>
    <x:row r="31">
      <x:c r="A31" s="134" t="str">
        <x:v>Month 36 blended gross margin</x:v>
      </x:c>
      <x:c r="B31" s="152" t="n">
        <x:f>'Forecast'!AK46</x:f>
        <x:v>0.8936291546604545</x:v>
      </x:c>
      <x:c r="C31" s="134"/>
      <x:c r="D31" s="134"/>
      <x:c r="E31" s="134"/>
      <x:c r="F31" s="134"/>
      <x:c r="G31" s="134"/>
      <x:c r="H31" s="134"/>
      <x:c r="I31" s="134"/>
      <x:c r="J31" s="134"/>
      <x:c r="K31" s="134"/>
      <x:c r="L31" s="134"/>
      <x:c r="M31" s="134"/>
      <x:c r="N31" s="134" t="str">
        <x:f>TEXT('Forecast'!AE4,"mmm-yy")</x:f>
        <x:v>Jan-29</x:v>
      </x:c>
      <x:c r="O31" s="135" t="n">
        <x:f>'Forecast'!AE32</x:f>
        <x:v>64393.247378640655</x:v>
      </x:c>
      <x:c r="P31" s="135" t="n">
        <x:f>'Forecast'!AE62</x:f>
        <x:v>396820.6314479367</x:v>
      </x:c>
    </x:row>
    <x:row r="32">
      <x:c r="A32" s="134" t="str">
        <x:v>Month 36 active paid individuals</x:v>
      </x:c>
      <x:c r="B32" s="153" t="n">
        <x:f>'Forecast'!AK16</x:f>
        <x:v>3148.148155081889</x:v>
      </x:c>
      <x:c r="C32" s="134"/>
      <x:c r="D32" s="134"/>
      <x:c r="E32" s="134"/>
      <x:c r="F32" s="134"/>
      <x:c r="G32" s="134"/>
      <x:c r="H32" s="134"/>
      <x:c r="I32" s="134"/>
      <x:c r="J32" s="134"/>
      <x:c r="K32" s="134"/>
      <x:c r="L32" s="134"/>
      <x:c r="M32" s="134"/>
      <x:c r="N32" s="134" t="str">
        <x:f>TEXT('Forecast'!AF4,"mmm-yy")</x:f>
        <x:v>Feb-29</x:v>
      </x:c>
      <x:c r="O32" s="135" t="n">
        <x:f>'Forecast'!AF32</x:f>
        <x:v>71226.47709822832</x:v>
      </x:c>
      <x:c r="P32" s="135" t="n">
        <x:f>'Forecast'!AF62</x:f>
        <x:v>443172.9286422207</x:v>
      </x:c>
    </x:row>
    <x:row r="33">
      <x:c r="A33" s="134" t="str">
        <x:v>Month 36 active B2B programs</x:v>
      </x:c>
      <x:c r="B33" s="153" t="n">
        <x:f>'Forecast'!AK25</x:f>
        <x:v>170.55430010172122</x:v>
      </x:c>
      <x:c r="C33" s="134"/>
      <x:c r="D33" s="134"/>
      <x:c r="E33" s="134"/>
      <x:c r="F33" s="134"/>
      <x:c r="G33" s="134"/>
      <x:c r="H33" s="134"/>
      <x:c r="I33" s="134"/>
      <x:c r="J33" s="134"/>
      <x:c r="K33" s="134"/>
      <x:c r="L33" s="134"/>
      <x:c r="M33" s="134"/>
      <x:c r="N33" s="134" t="str">
        <x:f>TEXT('Forecast'!AG4,"mmm-yy")</x:f>
        <x:v>Mar-29</x:v>
      </x:c>
      <x:c r="O33" s="135" t="n">
        <x:f>'Forecast'!AG32</x:f>
        <x:v>78785.16426925396</x:v>
      </x:c>
      <x:c r="P33" s="135" t="n">
        <x:f>'Forecast'!AG62</x:f>
        <x:v>495832.21748297696</x:v>
      </x:c>
    </x:row>
    <x:row r="34">
      <x:c r="A34" s="134" t="str">
        <x:v>First EBITDA-positive month</x:v>
      </x:c>
      <x:c r="B34" s="154" t="n">
        <x:f>IF(SUM('Forecast'!B64:AK64)=0,"Not reached",INDEX('Forecast'!B4:AK4,1,MATCH(1,'Forecast'!B64:AK64,0)))</x:f>
        <x:v>46692</x:v>
      </x:c>
      <x:c r="C34" s="134"/>
      <x:c r="D34" s="134"/>
      <x:c r="E34" s="134"/>
      <x:c r="F34" s="134"/>
      <x:c r="G34" s="134"/>
      <x:c r="H34" s="134"/>
      <x:c r="I34" s="134"/>
      <x:c r="J34" s="134"/>
      <x:c r="K34" s="134"/>
      <x:c r="L34" s="134"/>
      <x:c r="M34" s="134"/>
      <x:c r="N34" s="134" t="str">
        <x:f>TEXT('Forecast'!AH4,"mmm-yy")</x:f>
        <x:v>Apr-29</x:v>
      </x:c>
      <x:c r="O34" s="135" t="n">
        <x:f>'Forecast'!AH32</x:f>
        <x:v>87149.64298165143</x:v>
      </x:c>
      <x:c r="P34" s="135" t="n">
        <x:f>'Forecast'!AH62</x:f>
        <x:v>555494.0551553301</x:v>
      </x:c>
    </x:row>
    <x:row r="35">
      <x:c r="A35" s="134"/>
      <x:c r="B35" s="134"/>
      <x:c r="C35" s="134"/>
      <x:c r="D35" s="134"/>
      <x:c r="E35" s="134"/>
      <x:c r="F35" s="134"/>
      <x:c r="G35" s="134"/>
      <x:c r="H35" s="134"/>
      <x:c r="I35" s="134"/>
      <x:c r="J35" s="134"/>
      <x:c r="K35" s="134"/>
      <x:c r="L35" s="134"/>
      <x:c r="M35" s="134"/>
      <x:c r="N35" s="134" t="str">
        <x:f>TEXT('Forecast'!AI4,"mmm-yy")</x:f>
        <x:v>May-29</x:v>
      </x:c>
      <x:c r="O35" s="135" t="n">
        <x:f>'Forecast'!AI32</x:f>
        <x:v>96409.31543133344</x:v>
      </x:c>
      <x:c r="P35" s="135" t="n">
        <x:f>'Forecast'!AI62</x:f>
        <x:v>622932.6405895735</x:v>
      </x:c>
    </x:row>
    <x:row r="36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  <x:c r="K36" s="134"/>
      <x:c r="L36" s="134"/>
      <x:c r="M36" s="134"/>
      <x:c r="N36" s="134" t="str">
        <x:f>TEXT('Forecast'!AJ4,"mmm-yy")</x:f>
        <x:v>Jun-29</x:v>
      </x:c>
      <x:c r="O36" s="135" t="n">
        <x:f>'Forecast'!AJ32</x:f>
        <x:v>106663.69590807772</x:v>
      </x:c>
      <x:c r="P36" s="135" t="n">
        <x:f>'Forecast'!AJ62</x:f>
        <x:v>699009.8001006814</x:v>
      </x:c>
    </x:row>
    <x:row r="37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  <x:c r="K37" s="134"/>
      <x:c r="L37" s="134"/>
      <x:c r="M37" s="134"/>
      <x:c r="N37" s="134" t="str">
        <x:f>TEXT('Forecast'!AK4,"mmm-yy")</x:f>
        <x:v>Jul-29</x:v>
      </x:c>
      <x:c r="O37" s="135" t="n">
        <x:f>'Forecast'!AK32</x:f>
        <x:v>118023.57644729392</x:v>
      </x:c>
      <x:c r="P37" s="135" t="n">
        <x:f>'Forecast'!AK62</x:f>
        <x:v>784685.0144751717</x:v>
      </x:c>
    </x:row>
  </x:sheetData>
  <x:mergeCells>
    <x:mergeCell ref="A1:L1"/>
    <x:mergeCell ref="A2:L2"/>
    <x:mergeCell ref="A7:C7"/>
    <x:mergeCell ref="A8:C10"/>
    <x:mergeCell ref="E7:G7"/>
    <x:mergeCell ref="E8:G10"/>
    <x:mergeCell ref="I7:K7"/>
    <x:mergeCell ref="I8:K10"/>
    <x:mergeCell ref="A12:C12"/>
    <x:mergeCell ref="A13:C15"/>
    <x:mergeCell ref="E12:G12"/>
    <x:mergeCell ref="E13:G15"/>
    <x:mergeCell ref="I12:K12"/>
    <x:mergeCell ref="I13:K15"/>
    <x:mergeCell ref="A18:F18"/>
    <x:mergeCell ref="A28:F28"/>
    <x:mergeCell ref="F18:L18"/>
  </x:mergeCells>
  <x:pageMargins left="0.7" right="0.7" top="0.75" bottom="0.75" header="0.3" footer="0.3"/>
  <x:drawing xmlns:r="http://schemas.openxmlformats.org/officeDocument/2006/relationships" r:id="R092804b3b71249f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241" t="str">
        <x:v>AI Shark Tank — Assumptions</x:v>
      </x:c>
      <x:c r="B1" s="241" t="str">
        <x:v>AI Shark Tank — Assumptions</x:v>
      </x:c>
      <x:c r="C1" s="241" t="str">
        <x:v>AI Shark Tank — Assumptions</x:v>
      </x:c>
      <x:c r="D1" s="241" t="str">
        <x:v>AI Shark Tank — Assumptions</x:v>
      </x:c>
      <x:c r="E1" s="241" t="str">
        <x:v>AI Shark Tank — Assumptions</x:v>
      </x:c>
      <x:c r="F1" s="241" t="str">
        <x:v>AI Shark Tank — Assumptions</x:v>
      </x:c>
    </x:row>
    <x:row r="2" ht="26" customHeight="1">
      <x:c r="A2" s="110" t="str">
        <x:v>Blue-font cells are editable planning inputs. Change the selected scenario in B4.</x:v>
      </x:c>
      <x:c r="B2" s="110" t="str">
        <x:v>Blue-font cells are editable planning inputs. Change the selected scenario in B4.</x:v>
      </x:c>
      <x:c r="C2" s="110" t="str">
        <x:v>Blue-font cells are editable planning inputs. Change the selected scenario in B4.</x:v>
      </x:c>
      <x:c r="D2" s="110" t="str">
        <x:v>Blue-font cells are editable planning inputs. Change the selected scenario in B4.</x:v>
      </x:c>
      <x:c r="E2" s="110" t="str">
        <x:v>Blue-font cells are editable planning inputs. Change the selected scenario in B4.</x:v>
      </x:c>
      <x:c r="F2" s="110" t="str">
        <x:v>Blue-font cells are editable planning inputs. Change the selected scenario in B4.</x:v>
      </x:c>
    </x:row>
    <x:row r="3">
      <x:c r="A3" s="134"/>
      <x:c r="B3" s="134"/>
      <x:c r="C3" s="134"/>
      <x:c r="D3" s="134"/>
      <x:c r="E3" s="134"/>
      <x:c r="F3" s="134"/>
    </x:row>
    <x:row r="4">
      <x:c r="A4" s="169" t="str">
        <x:v>Selected scenario</x:v>
      </x:c>
      <x:c r="B4" s="170" t="str">
        <x:v>Base</x:v>
      </x:c>
      <x:c r="C4" s="134"/>
      <x:c r="D4" s="134"/>
      <x:c r="E4" s="134"/>
      <x:c r="F4" s="134"/>
    </x:row>
    <x:row r="5">
      <x:c r="A5" s="171" t="str">
        <x:v>Driver</x:v>
      </x:c>
      <x:c r="B5" s="171" t="str">
        <x:v>Unit</x:v>
      </x:c>
      <x:c r="C5" s="171" t="str">
        <x:v>Conservative</x:v>
      </x:c>
      <x:c r="D5" s="171" t="str">
        <x:v>Base</x:v>
      </x:c>
      <x:c r="E5" s="171" t="str">
        <x:v>Upside</x:v>
      </x:c>
      <x:c r="F5" s="171" t="str">
        <x:v>Selected</x:v>
      </x:c>
    </x:row>
    <x:row r="6">
      <x:c r="A6" s="108" t="str">
        <x:v>ACQUISITION &amp; RETENTION</x:v>
      </x:c>
      <x:c r="B6" s="108"/>
      <x:c r="C6" s="108"/>
      <x:c r="D6" s="108"/>
      <x:c r="E6" s="108"/>
      <x:c r="F6" s="108"/>
    </x:row>
    <x:row r="7">
      <x:c r="A7" s="134" t="str">
        <x:v>Website visits — month 1</x:v>
      </x:c>
      <x:c r="B7" s="134" t="str">
        <x:v>visits</x:v>
      </x:c>
      <x:c r="C7" s="172" t="n">
        <x:v>600</x:v>
      </x:c>
      <x:c r="D7" s="172" t="n">
        <x:v>1000</x:v>
      </x:c>
      <x:c r="E7" s="172" t="n">
        <x:v>1500</x:v>
      </x:c>
      <x:c r="F7" s="173" t="n">
        <x:f>IF($B$4="Conservative",C7,IF($B$4="Base",D7,E7))</x:f>
        <x:v>1000</x:v>
      </x:c>
    </x:row>
    <x:row r="8">
      <x:c r="A8" s="134" t="str">
        <x:v>Monthly website traffic growth</x:v>
      </x:c>
      <x:c r="B8" s="134" t="str">
        <x:v>% / mo</x:v>
      </x:c>
      <x:c r="C8" s="174" t="n">
        <x:v>0.06</x:v>
      </x:c>
      <x:c r="D8" s="174" t="n">
        <x:v>0.12</x:v>
      </x:c>
      <x:c r="E8" s="174" t="n">
        <x:v>0.18</x:v>
      </x:c>
      <x:c r="F8" s="175" t="n">
        <x:f>IF($B$4="Conservative",C8,IF($B$4="Base",D8,E8))</x:f>
        <x:v>0.12</x:v>
      </x:c>
    </x:row>
    <x:row r="9">
      <x:c r="A9" s="134" t="str">
        <x:v>Visitor-to-signup rate</x:v>
      </x:c>
      <x:c r="B9" s="134" t="str">
        <x:v>%</x:v>
      </x:c>
      <x:c r="C9" s="174" t="n">
        <x:v>0.06</x:v>
      </x:c>
      <x:c r="D9" s="174" t="n">
        <x:v>0.08</x:v>
      </x:c>
      <x:c r="E9" s="174" t="n">
        <x:v>0.1</x:v>
      </x:c>
      <x:c r="F9" s="175" t="n">
        <x:f>IF($B$4="Conservative",C9,IF($B$4="Base",D9,E9))</x:f>
        <x:v>0.08</x:v>
      </x:c>
    </x:row>
    <x:row r="10">
      <x:c r="A10" s="134" t="str">
        <x:v>Signup-to-paid conversion</x:v>
      </x:c>
      <x:c r="B10" s="134" t="str">
        <x:v>%</x:v>
      </x:c>
      <x:c r="C10" s="174" t="n">
        <x:v>0.08</x:v>
      </x:c>
      <x:c r="D10" s="174" t="n">
        <x:v>0.12</x:v>
      </x:c>
      <x:c r="E10" s="174" t="n">
        <x:v>0.16</x:v>
      </x:c>
      <x:c r="F10" s="175" t="n">
        <x:f>IF($B$4="Conservative",C10,IF($B$4="Base",D10,E10))</x:f>
        <x:v>0.12</x:v>
      </x:c>
    </x:row>
    <x:row r="11">
      <x:c r="A11" s="134" t="str">
        <x:v>Monthly individual churn</x:v>
      </x:c>
      <x:c r="B11" s="134" t="str">
        <x:v>%</x:v>
      </x:c>
      <x:c r="C11" s="174" t="n">
        <x:v>0.08</x:v>
      </x:c>
      <x:c r="D11" s="174" t="n">
        <x:v>0.06</x:v>
      </x:c>
      <x:c r="E11" s="174" t="n">
        <x:v>0.04</x:v>
      </x:c>
      <x:c r="F11" s="175" t="n">
        <x:f>IF($B$4="Conservative",C11,IF($B$4="Base",D11,E11))</x:f>
        <x:v>0.06</x:v>
      </x:c>
    </x:row>
    <x:row r="12">
      <x:c r="A12" s="134" t="str">
        <x:v>B2B leads — month 1</x:v>
      </x:c>
      <x:c r="B12" s="134" t="str">
        <x:v>leads</x:v>
      </x:c>
      <x:c r="C12" s="172" t="n">
        <x:v>8</x:v>
      </x:c>
      <x:c r="D12" s="172" t="n">
        <x:v>15</x:v>
      </x:c>
      <x:c r="E12" s="172" t="n">
        <x:v>25</x:v>
      </x:c>
      <x:c r="F12" s="173" t="n">
        <x:f>IF($B$4="Conservative",C12,IF($B$4="Base",D12,E12))</x:f>
        <x:v>15</x:v>
      </x:c>
    </x:row>
    <x:row r="13">
      <x:c r="A13" s="134" t="str">
        <x:v>Monthly B2B lead growth</x:v>
      </x:c>
      <x:c r="B13" s="134" t="str">
        <x:v>% / mo</x:v>
      </x:c>
      <x:c r="C13" s="174" t="n">
        <x:v>0.04</x:v>
      </x:c>
      <x:c r="D13" s="174" t="n">
        <x:v>0.08</x:v>
      </x:c>
      <x:c r="E13" s="174" t="n">
        <x:v>0.12</x:v>
      </x:c>
      <x:c r="F13" s="175" t="n">
        <x:f>IF($B$4="Conservative",C13,IF($B$4="Base",D13,E13))</x:f>
        <x:v>0.08</x:v>
      </x:c>
    </x:row>
    <x:row r="14">
      <x:c r="A14" s="134" t="str">
        <x:v>B2B lead close rate</x:v>
      </x:c>
      <x:c r="B14" s="134" t="str">
        <x:v>%</x:v>
      </x:c>
      <x:c r="C14" s="174" t="n">
        <x:v>0.05</x:v>
      </x:c>
      <x:c r="D14" s="174" t="n">
        <x:v>0.08</x:v>
      </x:c>
      <x:c r="E14" s="174" t="n">
        <x:v>0.12</x:v>
      </x:c>
      <x:c r="F14" s="175" t="n">
        <x:f>IF($B$4="Conservative",C14,IF($B$4="Base",D14,E14))</x:f>
        <x:v>0.08</x:v>
      </x:c>
    </x:row>
    <x:row r="15">
      <x:c r="A15" s="134" t="str">
        <x:v>Monthly B2B account churn</x:v>
      </x:c>
      <x:c r="B15" s="134" t="str">
        <x:v>%</x:v>
      </x:c>
      <x:c r="C15" s="174" t="n">
        <x:v>0.04</x:v>
      </x:c>
      <x:c r="D15" s="174" t="n">
        <x:v>0.03</x:v>
      </x:c>
      <x:c r="E15" s="174" t="n">
        <x:v>0.02</x:v>
      </x:c>
      <x:c r="F15" s="175" t="n">
        <x:f>IF($B$4="Conservative",C15,IF($B$4="Base",D15,E15))</x:f>
        <x:v>0.03</x:v>
      </x:c>
    </x:row>
    <x:row r="16">
      <x:c r="A16" s="108" t="str">
        <x:v>PRICING &amp; USAGE</x:v>
      </x:c>
      <x:c r="B16" s="108"/>
      <x:c r="C16" s="176"/>
      <x:c r="D16" s="176"/>
      <x:c r="E16" s="176"/>
      <x:c r="F16" s="176"/>
    </x:row>
    <x:row r="17">
      <x:c r="A17" s="134" t="str">
        <x:v>Individual subscription ARPU</x:v>
      </x:c>
      <x:c r="B17" s="134" t="str">
        <x:v>$ / month</x:v>
      </x:c>
      <x:c r="C17" s="177" t="n">
        <x:v>19</x:v>
      </x:c>
      <x:c r="D17" s="177" t="n">
        <x:v>24</x:v>
      </x:c>
      <x:c r="E17" s="177" t="n">
        <x:v>29</x:v>
      </x:c>
      <x:c r="F17" s="178" t="n">
        <x:f>IF($B$4="Conservative",C17,IF($B$4="Base",D17,E17))</x:f>
        <x:v>24</x:v>
      </x:c>
    </x:row>
    <x:row r="18">
      <x:c r="A18" s="134" t="str">
        <x:v>Program / accelerator ARPA</x:v>
      </x:c>
      <x:c r="B18" s="134" t="str">
        <x:v>$ / month</x:v>
      </x:c>
      <x:c r="C18" s="177" t="n">
        <x:v>199</x:v>
      </x:c>
      <x:c r="D18" s="177" t="n">
        <x:v>249</x:v>
      </x:c>
      <x:c r="E18" s="177" t="n">
        <x:v>349</x:v>
      </x:c>
      <x:c r="F18" s="178" t="n">
        <x:f>IF($B$4="Conservative",C18,IF($B$4="Base",D18,E18))</x:f>
        <x:v>249</x:v>
      </x:c>
    </x:row>
    <x:row r="19">
      <x:c r="A19" s="134" t="str">
        <x:v>Reports per individual / month</x:v>
      </x:c>
      <x:c r="B19" s="134" t="str">
        <x:v>reports</x:v>
      </x:c>
      <x:c r="C19" s="179" t="n">
        <x:v>1.2</x:v>
      </x:c>
      <x:c r="D19" s="179" t="n">
        <x:v>1.5</x:v>
      </x:c>
      <x:c r="E19" s="179" t="n">
        <x:v>1.8</x:v>
      </x:c>
      <x:c r="F19" s="180" t="n">
        <x:f>IF($B$4="Conservative",C19,IF($B$4="Base",D19,E19))</x:f>
        <x:v>1.5</x:v>
      </x:c>
    </x:row>
    <x:row r="20">
      <x:c r="A20" s="134" t="str">
        <x:v>Reports per B2B program / month</x:v>
      </x:c>
      <x:c r="B20" s="134" t="str">
        <x:v>reports</x:v>
      </x:c>
      <x:c r="C20" s="179" t="n">
        <x:v>18</x:v>
      </x:c>
      <x:c r="D20" s="179" t="n">
        <x:v>25</x:v>
      </x:c>
      <x:c r="E20" s="179" t="n">
        <x:v>35</x:v>
      </x:c>
      <x:c r="F20" s="180" t="n">
        <x:f>IF($B$4="Conservative",C20,IF($B$4="Base",D20,E20))</x:f>
        <x:v>25</x:v>
      </x:c>
    </x:row>
    <x:row r="21">
      <x:c r="A21" s="134" t="str">
        <x:v>AI processing cost per report</x:v>
      </x:c>
      <x:c r="B21" s="134" t="str">
        <x:v>$ / report</x:v>
      </x:c>
      <x:c r="C21" s="181" t="n">
        <x:v>1.25</x:v>
      </x:c>
      <x:c r="D21" s="181" t="n">
        <x:v>0.85</x:v>
      </x:c>
      <x:c r="E21" s="181" t="n">
        <x:v>0.6</x:v>
      </x:c>
      <x:c r="F21" s="182" t="n">
        <x:f>IF($B$4="Conservative",C21,IF($B$4="Base",D21,E21))</x:f>
        <x:v>0.85</x:v>
      </x:c>
    </x:row>
    <x:row r="22">
      <x:c r="A22" s="134" t="str">
        <x:v>Hosting &amp; storage per active account</x:v>
      </x:c>
      <x:c r="B22" s="134" t="str">
        <x:v>$ / month</x:v>
      </x:c>
      <x:c r="C22" s="181" t="n">
        <x:v>0.55</x:v>
      </x:c>
      <x:c r="D22" s="181" t="n">
        <x:v>0.45</x:v>
      </x:c>
      <x:c r="E22" s="181" t="n">
        <x:v>0.35</x:v>
      </x:c>
      <x:c r="F22" s="182" t="n">
        <x:f>IF($B$4="Conservative",C22,IF($B$4="Base",D22,E22))</x:f>
        <x:v>0.45</x:v>
      </x:c>
    </x:row>
    <x:row r="23">
      <x:c r="A23" s="134" t="str">
        <x:v>Payment processing rate</x:v>
      </x:c>
      <x:c r="B23" s="134" t="str">
        <x:v>% revenue</x:v>
      </x:c>
      <x:c r="C23" s="174" t="n">
        <x:v>0.032</x:v>
      </x:c>
      <x:c r="D23" s="174" t="n">
        <x:v>0.029</x:v>
      </x:c>
      <x:c r="E23" s="174" t="n">
        <x:v>0.027</x:v>
      </x:c>
      <x:c r="F23" s="175" t="n">
        <x:f>IF($B$4="Conservative",C23,IF($B$4="Base",D23,E23))</x:f>
        <x:v>0.029</x:v>
      </x:c>
    </x:row>
    <x:row r="24">
      <x:c r="A24" s="108" t="str">
        <x:v>OPERATING COSTS &amp; CASH</x:v>
      </x:c>
      <x:c r="B24" s="108"/>
      <x:c r="C24" s="176"/>
      <x:c r="D24" s="176"/>
      <x:c r="E24" s="176"/>
      <x:c r="F24" s="176"/>
    </x:row>
    <x:row r="25">
      <x:c r="A25" s="134" t="str">
        <x:v>Marketing spend — month 1</x:v>
      </x:c>
      <x:c r="B25" s="134" t="str">
        <x:v>$ / month</x:v>
      </x:c>
      <x:c r="C25" s="177" t="n">
        <x:v>600</x:v>
      </x:c>
      <x:c r="D25" s="177" t="n">
        <x:v>1000</x:v>
      </x:c>
      <x:c r="E25" s="177" t="n">
        <x:v>1800</x:v>
      </x:c>
      <x:c r="F25" s="178" t="n">
        <x:f>IF($B$4="Conservative",C25,IF($B$4="Base",D25,E25))</x:f>
        <x:v>1000</x:v>
      </x:c>
    </x:row>
    <x:row r="26">
      <x:c r="A26" s="134" t="str">
        <x:v>Monthly marketing spend growth</x:v>
      </x:c>
      <x:c r="B26" s="134" t="str">
        <x:v>% / mo</x:v>
      </x:c>
      <x:c r="C26" s="174" t="n">
        <x:v>0.03</x:v>
      </x:c>
      <x:c r="D26" s="174" t="n">
        <x:v>0.06</x:v>
      </x:c>
      <x:c r="E26" s="174" t="n">
        <x:v>0.09</x:v>
      </x:c>
      <x:c r="F26" s="175" t="n">
        <x:f>IF($B$4="Conservative",C26,IF($B$4="Base",D26,E26))</x:f>
        <x:v>0.06</x:v>
      </x:c>
    </x:row>
    <x:row r="27">
      <x:c r="A27" s="134" t="str">
        <x:v>Product / engineering contractor</x:v>
      </x:c>
      <x:c r="B27" s="134" t="str">
        <x:v>$ / month</x:v>
      </x:c>
      <x:c r="C27" s="177" t="n">
        <x:v>1800</x:v>
      </x:c>
      <x:c r="D27" s="177" t="n">
        <x:v>2500</x:v>
      </x:c>
      <x:c r="E27" s="177" t="n">
        <x:v>4000</x:v>
      </x:c>
      <x:c r="F27" s="178" t="n">
        <x:f>IF($B$4="Conservative",C27,IF($B$4="Base",D27,E27))</x:f>
        <x:v>2500</x:v>
      </x:c>
    </x:row>
    <x:row r="28">
      <x:c r="A28" s="134" t="str">
        <x:v>Founder monthly payroll after start</x:v>
      </x:c>
      <x:c r="B28" s="134" t="str">
        <x:v>$ / month</x:v>
      </x:c>
      <x:c r="C28" s="177" t="n">
        <x:v>3000</x:v>
      </x:c>
      <x:c r="D28" s="177" t="n">
        <x:v>4000</x:v>
      </x:c>
      <x:c r="E28" s="177" t="n">
        <x:v>5000</x:v>
      </x:c>
      <x:c r="F28" s="178" t="n">
        <x:f>IF($B$4="Conservative",C28,IF($B$4="Base",D28,E28))</x:f>
        <x:v>4000</x:v>
      </x:c>
    </x:row>
    <x:row r="29">
      <x:c r="A29" s="134" t="str">
        <x:v>Founder payroll start month</x:v>
      </x:c>
      <x:c r="B29" s="134" t="str">
        <x:v>month #</x:v>
      </x:c>
      <x:c r="C29" s="172" t="n">
        <x:v>10</x:v>
      </x:c>
      <x:c r="D29" s="172" t="n">
        <x:v>7</x:v>
      </x:c>
      <x:c r="E29" s="172" t="n">
        <x:v>4</x:v>
      </x:c>
      <x:c r="F29" s="173" t="n">
        <x:f>IF($B$4="Conservative",C29,IF($B$4="Base",D29,E29))</x:f>
        <x:v>7</x:v>
      </x:c>
    </x:row>
    <x:row r="30">
      <x:c r="A30" s="134" t="str">
        <x:v>Sales/support monthly payroll</x:v>
      </x:c>
      <x:c r="B30" s="134" t="str">
        <x:v>$ / month</x:v>
      </x:c>
      <x:c r="C30" s="177" t="n">
        <x:v>1800</x:v>
      </x:c>
      <x:c r="D30" s="177" t="n">
        <x:v>2500</x:v>
      </x:c>
      <x:c r="E30" s="177" t="n">
        <x:v>3500</x:v>
      </x:c>
      <x:c r="F30" s="178" t="n">
        <x:f>IF($B$4="Conservative",C30,IF($B$4="Base",D30,E30))</x:f>
        <x:v>2500</x:v>
      </x:c>
    </x:row>
    <x:row r="31">
      <x:c r="A31" s="134" t="str">
        <x:v>Sales/support start month</x:v>
      </x:c>
      <x:c r="B31" s="134" t="str">
        <x:v>month #</x:v>
      </x:c>
      <x:c r="C31" s="172" t="n">
        <x:v>16</x:v>
      </x:c>
      <x:c r="D31" s="172" t="n">
        <x:v>10</x:v>
      </x:c>
      <x:c r="E31" s="172" t="n">
        <x:v>7</x:v>
      </x:c>
      <x:c r="F31" s="173" t="n">
        <x:f>IF($B$4="Conservative",C31,IF($B$4="Base",D31,E31))</x:f>
        <x:v>10</x:v>
      </x:c>
    </x:row>
    <x:row r="32">
      <x:c r="A32" s="134" t="str">
        <x:v>Software tools — month 1</x:v>
      </x:c>
      <x:c r="B32" s="134" t="str">
        <x:v>$ / month</x:v>
      </x:c>
      <x:c r="C32" s="177" t="n">
        <x:v>350</x:v>
      </x:c>
      <x:c r="D32" s="177" t="n">
        <x:v>500</x:v>
      </x:c>
      <x:c r="E32" s="177" t="n">
        <x:v>750</x:v>
      </x:c>
      <x:c r="F32" s="178" t="n">
        <x:f>IF($B$4="Conservative",C32,IF($B$4="Base",D32,E32))</x:f>
        <x:v>500</x:v>
      </x:c>
    </x:row>
    <x:row r="33">
      <x:c r="A33" s="134" t="str">
        <x:v>Monthly software cost growth</x:v>
      </x:c>
      <x:c r="B33" s="134" t="str">
        <x:v>% / mo</x:v>
      </x:c>
      <x:c r="C33" s="174" t="n">
        <x:v>0.03</x:v>
      </x:c>
      <x:c r="D33" s="174" t="n">
        <x:v>0.05</x:v>
      </x:c>
      <x:c r="E33" s="174" t="n">
        <x:v>0.07</x:v>
      </x:c>
      <x:c r="F33" s="175" t="n">
        <x:f>IF($B$4="Conservative",C33,IF($B$4="Base",D33,E33))</x:f>
        <x:v>0.05</x:v>
      </x:c>
    </x:row>
    <x:row r="34">
      <x:c r="A34" s="134" t="str">
        <x:v>General &amp; administrative</x:v>
      </x:c>
      <x:c r="B34" s="134" t="str">
        <x:v>$ / month</x:v>
      </x:c>
      <x:c r="C34" s="177" t="n">
        <x:v>250</x:v>
      </x:c>
      <x:c r="D34" s="177" t="n">
        <x:v>350</x:v>
      </x:c>
      <x:c r="E34" s="177" t="n">
        <x:v>500</x:v>
      </x:c>
      <x:c r="F34" s="178" t="n">
        <x:f>IF($B$4="Conservative",C34,IF($B$4="Base",D34,E34))</x:f>
        <x:v>350</x:v>
      </x:c>
    </x:row>
    <x:row r="35">
      <x:c r="A35" s="134" t="str">
        <x:v>Starting cash</x:v>
      </x:c>
      <x:c r="B35" s="134" t="str">
        <x:v>$</x:v>
      </x:c>
      <x:c r="C35" s="177" t="n">
        <x:v>35000</x:v>
      </x:c>
      <x:c r="D35" s="177" t="n">
        <x:v>50000</x:v>
      </x:c>
      <x:c r="E35" s="177" t="n">
        <x:v>75000</x:v>
      </x:c>
      <x:c r="F35" s="178" t="n">
        <x:f>IF($B$4="Conservative",C35,IF($B$4="Base",D35,E35))</x:f>
        <x:v>50000</x:v>
      </x:c>
    </x:row>
    <x:row r="36">
      <x:c r="A36" s="134" t="str">
        <x:v>Planned financing</x:v>
      </x:c>
      <x:c r="B36" s="134" t="str">
        <x:v>$</x:v>
      </x:c>
      <x:c r="C36" s="177" t="n">
        <x:v>100000</x:v>
      </x:c>
      <x:c r="D36" s="177" t="n">
        <x:v>150000</x:v>
      </x:c>
      <x:c r="E36" s="177" t="n">
        <x:v>250000</x:v>
      </x:c>
      <x:c r="F36" s="178" t="n">
        <x:f>IF($B$4="Conservative",C36,IF($B$4="Base",D36,E36))</x:f>
        <x:v>150000</x:v>
      </x:c>
    </x:row>
    <x:row r="37">
      <x:c r="A37" s="134" t="str">
        <x:v>Financing month</x:v>
      </x:c>
      <x:c r="B37" s="134" t="str">
        <x:v>month #</x:v>
      </x:c>
      <x:c r="C37" s="172" t="n">
        <x:v>13</x:v>
      </x:c>
      <x:c r="D37" s="172" t="n">
        <x:v>13</x:v>
      </x:c>
      <x:c r="E37" s="172" t="n">
        <x:v>10</x:v>
      </x:c>
      <x:c r="F37" s="173" t="n">
        <x:f>IF($B$4="Conservative",C37,IF($B$4="Base",D37,E37))</x:f>
        <x:v>13</x:v>
      </x:c>
    </x:row>
  </x:sheetData>
  <x:mergeCells>
    <x:mergeCell ref="A1:F1"/>
    <x:mergeCell ref="A2:F2"/>
  </x:mergeCells>
  <x:dataValidations count="1">
    <x:dataValidation type="list" sqref="B4">
      <x:formula1>"Conservative,Base,Upside"</x:formula1>
    </x:dataValidation>
  </x:dataValidations>
  <x:pageMargins left="0.7" right="0.7" top="0.75" bottom="0.75" header="0.3" footer="0.3"/>
  <x:legacyDrawing xmlns:r="http://schemas.openxmlformats.org/officeDocument/2006/relationships" r:id="Rf8449dc88ba64d8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</x:cols>
  <x:sheetData>
    <x:row r="1" ht="34" customHeight="1">
      <x:c r="A1" s="241" t="str">
        <x:v>AI Shark Tank — 36-Month Operating Forecast</x:v>
      </x:c>
      <x:c r="B1" s="241" t="str">
        <x:v>AI Shark Tank — 36-Month Operating Forecast</x:v>
      </x:c>
      <x:c r="C1" s="241" t="str">
        <x:v>AI Shark Tank — 36-Month Operating Forecast</x:v>
      </x:c>
      <x:c r="D1" s="241" t="str">
        <x:v>AI Shark Tank — 36-Month Operating Forecast</x:v>
      </x:c>
      <x:c r="E1" s="241" t="str">
        <x:v>AI Shark Tank — 36-Month Operating Forecast</x:v>
      </x:c>
      <x:c r="F1" s="241" t="str">
        <x:v>AI Shark Tank — 36-Month Operating Forecast</x:v>
      </x:c>
      <x:c r="G1" s="241" t="str">
        <x:v>AI Shark Tank — 36-Month Operating Forecast</x:v>
      </x:c>
      <x:c r="H1" s="241" t="str">
        <x:v>AI Shark Tank — 36-Month Operating Forecast</x:v>
      </x:c>
      <x:c r="I1" s="241" t="str">
        <x:v>AI Shark Tank — 36-Month Operating Forecast</x:v>
      </x:c>
      <x:c r="J1" s="241" t="str">
        <x:v>AI Shark Tank — 36-Month Operating Forecast</x:v>
      </x:c>
      <x:c r="K1" s="241" t="str">
        <x:v>AI Shark Tank — 36-Month Operating Forecast</x:v>
      </x:c>
      <x:c r="L1" s="241" t="str">
        <x:v>AI Shark Tank — 36-Month Operating Forecast</x:v>
      </x:c>
      <x:c r="M1" s="241" t="str">
        <x:v>AI Shark Tank — 36-Month Operating Forecast</x:v>
      </x:c>
      <x:c r="N1" s="241" t="str">
        <x:v>AI Shark Tank — 36-Month Operating Forecast</x:v>
      </x:c>
      <x:c r="O1" s="241" t="str">
        <x:v>AI Shark Tank — 36-Month Operating Forecast</x:v>
      </x:c>
      <x:c r="P1" s="241" t="str">
        <x:v>AI Shark Tank — 36-Month Operating Forecast</x:v>
      </x:c>
      <x:c r="Q1" s="241" t="str">
        <x:v>AI Shark Tank — 36-Month Operating Forecast</x:v>
      </x:c>
      <x:c r="R1" s="241" t="str">
        <x:v>AI Shark Tank — 36-Month Operating Forecast</x:v>
      </x:c>
      <x:c r="S1" s="241" t="str">
        <x:v>AI Shark Tank — 36-Month Operating Forecast</x:v>
      </x:c>
      <x:c r="T1" s="241" t="str">
        <x:v>AI Shark Tank — 36-Month Operating Forecast</x:v>
      </x:c>
      <x:c r="U1" s="241" t="str">
        <x:v>AI Shark Tank — 36-Month Operating Forecast</x:v>
      </x:c>
      <x:c r="V1" s="241" t="str">
        <x:v>AI Shark Tank — 36-Month Operating Forecast</x:v>
      </x:c>
      <x:c r="W1" s="241" t="str">
        <x:v>AI Shark Tank — 36-Month Operating Forecast</x:v>
      </x:c>
      <x:c r="X1" s="241" t="str">
        <x:v>AI Shark Tank — 36-Month Operating Forecast</x:v>
      </x:c>
      <x:c r="Y1" s="241" t="str">
        <x:v>AI Shark Tank — 36-Month Operating Forecast</x:v>
      </x:c>
      <x:c r="Z1" s="241" t="str">
        <x:v>AI Shark Tank — 36-Month Operating Forecast</x:v>
      </x:c>
      <x:c r="AA1" s="241" t="str">
        <x:v>AI Shark Tank — 36-Month Operating Forecast</x:v>
      </x:c>
      <x:c r="AB1" s="241" t="str">
        <x:v>AI Shark Tank — 36-Month Operating Forecast</x:v>
      </x:c>
      <x:c r="AC1" s="241" t="str">
        <x:v>AI Shark Tank — 36-Month Operating Forecast</x:v>
      </x:c>
      <x:c r="AD1" s="241" t="str">
        <x:v>AI Shark Tank — 36-Month Operating Forecast</x:v>
      </x:c>
      <x:c r="AE1" s="241" t="str">
        <x:v>AI Shark Tank — 36-Month Operating Forecast</x:v>
      </x:c>
      <x:c r="AF1" s="241" t="str">
        <x:v>AI Shark Tank — 36-Month Operating Forecast</x:v>
      </x:c>
      <x:c r="AG1" s="241" t="str">
        <x:v>AI Shark Tank — 36-Month Operating Forecast</x:v>
      </x:c>
      <x:c r="AH1" s="241" t="str">
        <x:v>AI Shark Tank — 36-Month Operating Forecast</x:v>
      </x:c>
      <x:c r="AI1" s="241" t="str">
        <x:v>AI Shark Tank — 36-Month Operating Forecast</x:v>
      </x:c>
      <x:c r="AJ1" s="241" t="str">
        <x:v>AI Shark Tank — 36-Month Operating Forecast</x:v>
      </x:c>
      <x:c r="AK1" s="241" t="str">
        <x:v>AI Shark Tank — 36-Month Operating Forecast</x:v>
      </x:c>
    </x:row>
    <x:row r="2" ht="26" customHeight="1">
      <x:c r="A2" s="110" t="str">
        <x:v>Formula-driven monthly model. Green text indicates links to the Assumptions sheet.</x:v>
      </x:c>
      <x:c r="B2" s="110" t="str">
        <x:v>Formula-driven monthly model. Green text indicates links to the Assumptions sheet.</x:v>
      </x:c>
      <x:c r="C2" s="110" t="str">
        <x:v>Formula-driven monthly model. Green text indicates links to the Assumptions sheet.</x:v>
      </x:c>
      <x:c r="D2" s="110" t="str">
        <x:v>Formula-driven monthly model. Green text indicates links to the Assumptions sheet.</x:v>
      </x:c>
      <x:c r="E2" s="110" t="str">
        <x:v>Formula-driven monthly model. Green text indicates links to the Assumptions sheet.</x:v>
      </x:c>
      <x:c r="F2" s="110" t="str">
        <x:v>Formula-driven monthly model. Green text indicates links to the Assumptions sheet.</x:v>
      </x:c>
      <x:c r="G2" s="110" t="str">
        <x:v>Formula-driven monthly model. Green text indicates links to the Assumptions sheet.</x:v>
      </x:c>
      <x:c r="H2" s="110" t="str">
        <x:v>Formula-driven monthly model. Green text indicates links to the Assumptions sheet.</x:v>
      </x:c>
      <x:c r="I2" s="110" t="str">
        <x:v>Formula-driven monthly model. Green text indicates links to the Assumptions sheet.</x:v>
      </x:c>
      <x:c r="J2" s="110" t="str">
        <x:v>Formula-driven monthly model. Green text indicates links to the Assumptions sheet.</x:v>
      </x:c>
      <x:c r="K2" s="110" t="str">
        <x:v>Formula-driven monthly model. Green text indicates links to the Assumptions sheet.</x:v>
      </x:c>
      <x:c r="L2" s="110" t="str">
        <x:v>Formula-driven monthly model. Green text indicates links to the Assumptions sheet.</x:v>
      </x:c>
      <x:c r="M2" s="110" t="str">
        <x:v>Formula-driven monthly model. Green text indicates links to the Assumptions sheet.</x:v>
      </x:c>
      <x:c r="N2" s="110" t="str">
        <x:v>Formula-driven monthly model. Green text indicates links to the Assumptions sheet.</x:v>
      </x:c>
      <x:c r="O2" s="110" t="str">
        <x:v>Formula-driven monthly model. Green text indicates links to the Assumptions sheet.</x:v>
      </x:c>
      <x:c r="P2" s="110" t="str">
        <x:v>Formula-driven monthly model. Green text indicates links to the Assumptions sheet.</x:v>
      </x:c>
      <x:c r="Q2" s="110" t="str">
        <x:v>Formula-driven monthly model. Green text indicates links to the Assumptions sheet.</x:v>
      </x:c>
      <x:c r="R2" s="110" t="str">
        <x:v>Formula-driven monthly model. Green text indicates links to the Assumptions sheet.</x:v>
      </x:c>
      <x:c r="S2" s="110" t="str">
        <x:v>Formula-driven monthly model. Green text indicates links to the Assumptions sheet.</x:v>
      </x:c>
      <x:c r="T2" s="110" t="str">
        <x:v>Formula-driven monthly model. Green text indicates links to the Assumptions sheet.</x:v>
      </x:c>
      <x:c r="U2" s="110" t="str">
        <x:v>Formula-driven monthly model. Green text indicates links to the Assumptions sheet.</x:v>
      </x:c>
      <x:c r="V2" s="110" t="str">
        <x:v>Formula-driven monthly model. Green text indicates links to the Assumptions sheet.</x:v>
      </x:c>
      <x:c r="W2" s="110" t="str">
        <x:v>Formula-driven monthly model. Green text indicates links to the Assumptions sheet.</x:v>
      </x:c>
      <x:c r="X2" s="110" t="str">
        <x:v>Formula-driven monthly model. Green text indicates links to the Assumptions sheet.</x:v>
      </x:c>
      <x:c r="Y2" s="110" t="str">
        <x:v>Formula-driven monthly model. Green text indicates links to the Assumptions sheet.</x:v>
      </x:c>
      <x:c r="Z2" s="110" t="str">
        <x:v>Formula-driven monthly model. Green text indicates links to the Assumptions sheet.</x:v>
      </x:c>
      <x:c r="AA2" s="110" t="str">
        <x:v>Formula-driven monthly model. Green text indicates links to the Assumptions sheet.</x:v>
      </x:c>
      <x:c r="AB2" s="110" t="str">
        <x:v>Formula-driven monthly model. Green text indicates links to the Assumptions sheet.</x:v>
      </x:c>
      <x:c r="AC2" s="110" t="str">
        <x:v>Formula-driven monthly model. Green text indicates links to the Assumptions sheet.</x:v>
      </x:c>
      <x:c r="AD2" s="110" t="str">
        <x:v>Formula-driven monthly model. Green text indicates links to the Assumptions sheet.</x:v>
      </x:c>
      <x:c r="AE2" s="110" t="str">
        <x:v>Formula-driven monthly model. Green text indicates links to the Assumptions sheet.</x:v>
      </x:c>
      <x:c r="AF2" s="110" t="str">
        <x:v>Formula-driven monthly model. Green text indicates links to the Assumptions sheet.</x:v>
      </x:c>
      <x:c r="AG2" s="110" t="str">
        <x:v>Formula-driven monthly model. Green text indicates links to the Assumptions sheet.</x:v>
      </x:c>
      <x:c r="AH2" s="110" t="str">
        <x:v>Formula-driven monthly model. Green text indicates links to the Assumptions sheet.</x:v>
      </x:c>
      <x:c r="AI2" s="110" t="str">
        <x:v>Formula-driven monthly model. Green text indicates links to the Assumptions sheet.</x:v>
      </x:c>
      <x:c r="AJ2" s="110" t="str">
        <x:v>Formula-driven monthly model. Green text indicates links to the Assumptions sheet.</x:v>
      </x:c>
      <x:c r="AK2" s="110" t="str">
        <x:v>Formula-driven monthly model. Green text indicates links to the Assumptions sheet.</x:v>
      </x:c>
    </x:row>
    <x:row r="3">
      <x:c r="A3" s="134"/>
      <x:c r="B3" s="134"/>
      <x:c r="C3" s="134"/>
      <x:c r="D3" s="134"/>
      <x:c r="E3" s="134"/>
      <x:c r="F3" s="134"/>
      <x:c r="G3" s="134"/>
      <x:c r="H3" s="134"/>
      <x:c r="I3" s="134"/>
      <x:c r="J3" s="134"/>
      <x:c r="K3" s="134"/>
      <x:c r="L3" s="134"/>
      <x:c r="M3" s="134"/>
      <x:c r="N3" s="134"/>
      <x:c r="O3" s="134"/>
      <x:c r="P3" s="134"/>
      <x:c r="Q3" s="134"/>
      <x:c r="R3" s="134"/>
      <x:c r="S3" s="134"/>
      <x:c r="T3" s="134"/>
      <x:c r="U3" s="134"/>
      <x:c r="V3" s="134"/>
      <x:c r="W3" s="134"/>
      <x:c r="X3" s="134"/>
      <x:c r="Y3" s="134"/>
      <x:c r="Z3" s="134"/>
      <x:c r="AA3" s="134"/>
      <x:c r="AB3" s="134"/>
      <x:c r="AC3" s="134"/>
      <x:c r="AD3" s="134"/>
      <x:c r="AE3" s="134"/>
      <x:c r="AF3" s="134"/>
      <x:c r="AG3" s="134"/>
      <x:c r="AH3" s="134"/>
      <x:c r="AI3" s="134"/>
      <x:c r="AJ3" s="134"/>
      <x:c r="AK3" s="134"/>
    </x:row>
    <x:row r="4">
      <x:c r="A4" s="149" t="str">
        <x:v>Month</x:v>
      </x:c>
      <x:c r="B4" s="196" t="n">
        <x:v>46235</x:v>
      </x:c>
      <x:c r="C4" s="196" t="n">
        <x:v>46266</x:v>
      </x:c>
      <x:c r="D4" s="196" t="n">
        <x:v>46296</x:v>
      </x:c>
      <x:c r="E4" s="196" t="n">
        <x:v>46327</x:v>
      </x:c>
      <x:c r="F4" s="196" t="n">
        <x:v>46357</x:v>
      </x:c>
      <x:c r="G4" s="196" t="n">
        <x:v>46388</x:v>
      </x:c>
      <x:c r="H4" s="196" t="n">
        <x:v>46419</x:v>
      </x:c>
      <x:c r="I4" s="196" t="n">
        <x:v>46447</x:v>
      </x:c>
      <x:c r="J4" s="196" t="n">
        <x:v>46478</x:v>
      </x:c>
      <x:c r="K4" s="196" t="n">
        <x:v>46508</x:v>
      </x:c>
      <x:c r="L4" s="196" t="n">
        <x:v>46539</x:v>
      </x:c>
      <x:c r="M4" s="196" t="n">
        <x:v>46569</x:v>
      </x:c>
      <x:c r="N4" s="196" t="n">
        <x:v>46600</x:v>
      </x:c>
      <x:c r="O4" s="196" t="n">
        <x:v>46631</x:v>
      </x:c>
      <x:c r="P4" s="196" t="n">
        <x:v>46661</x:v>
      </x:c>
      <x:c r="Q4" s="196" t="n">
        <x:v>46692</x:v>
      </x:c>
      <x:c r="R4" s="196" t="n">
        <x:v>46722</x:v>
      </x:c>
      <x:c r="S4" s="196" t="n">
        <x:v>46753</x:v>
      </x:c>
      <x:c r="T4" s="196" t="n">
        <x:v>46784</x:v>
      </x:c>
      <x:c r="U4" s="196" t="n">
        <x:v>46813</x:v>
      </x:c>
      <x:c r="V4" s="196" t="n">
        <x:v>46844</x:v>
      </x:c>
      <x:c r="W4" s="196" t="n">
        <x:v>46874</x:v>
      </x:c>
      <x:c r="X4" s="196" t="n">
        <x:v>46905</x:v>
      </x:c>
      <x:c r="Y4" s="196" t="n">
        <x:v>46935</x:v>
      </x:c>
      <x:c r="Z4" s="196" t="n">
        <x:v>46966</x:v>
      </x:c>
      <x:c r="AA4" s="196" t="n">
        <x:v>46997</x:v>
      </x:c>
      <x:c r="AB4" s="196" t="n">
        <x:v>47027</x:v>
      </x:c>
      <x:c r="AC4" s="196" t="n">
        <x:v>47058</x:v>
      </x:c>
      <x:c r="AD4" s="196" t="n">
        <x:v>47088</x:v>
      </x:c>
      <x:c r="AE4" s="196" t="n">
        <x:v>47119</x:v>
      </x:c>
      <x:c r="AF4" s="196" t="n">
        <x:v>47150</x:v>
      </x:c>
      <x:c r="AG4" s="196" t="n">
        <x:v>47178</x:v>
      </x:c>
      <x:c r="AH4" s="196" t="n">
        <x:v>47209</x:v>
      </x:c>
      <x:c r="AI4" s="196" t="n">
        <x:v>47239</x:v>
      </x:c>
      <x:c r="AJ4" s="196" t="n">
        <x:v>47270</x:v>
      </x:c>
      <x:c r="AK4" s="196" t="n">
        <x:v>47300</x:v>
      </x:c>
    </x:row>
    <x:row r="5">
      <x:c r="A5" s="197" t="str">
        <x:v>Month #</x:v>
      </x:c>
      <x:c r="B5" s="197" t="n">
        <x:v>1</x:v>
      </x:c>
      <x:c r="C5" s="197" t="n">
        <x:v>2</x:v>
      </x:c>
      <x:c r="D5" s="197" t="n">
        <x:v>3</x:v>
      </x:c>
      <x:c r="E5" s="197" t="n">
        <x:v>4</x:v>
      </x:c>
      <x:c r="F5" s="197" t="n">
        <x:v>5</x:v>
      </x:c>
      <x:c r="G5" s="197" t="n">
        <x:v>6</x:v>
      </x:c>
      <x:c r="H5" s="197" t="n">
        <x:v>7</x:v>
      </x:c>
      <x:c r="I5" s="197" t="n">
        <x:v>8</x:v>
      </x:c>
      <x:c r="J5" s="197" t="n">
        <x:v>9</x:v>
      </x:c>
      <x:c r="K5" s="197" t="n">
        <x:v>10</x:v>
      </x:c>
      <x:c r="L5" s="197" t="n">
        <x:v>11</x:v>
      </x:c>
      <x:c r="M5" s="197" t="n">
        <x:v>12</x:v>
      </x:c>
      <x:c r="N5" s="197" t="n">
        <x:v>13</x:v>
      </x:c>
      <x:c r="O5" s="197" t="n">
        <x:v>14</x:v>
      </x:c>
      <x:c r="P5" s="197" t="n">
        <x:v>15</x:v>
      </x:c>
      <x:c r="Q5" s="197" t="n">
        <x:v>16</x:v>
      </x:c>
      <x:c r="R5" s="197" t="n">
        <x:v>17</x:v>
      </x:c>
      <x:c r="S5" s="197" t="n">
        <x:v>18</x:v>
      </x:c>
      <x:c r="T5" s="197" t="n">
        <x:v>19</x:v>
      </x:c>
      <x:c r="U5" s="197" t="n">
        <x:v>20</x:v>
      </x:c>
      <x:c r="V5" s="197" t="n">
        <x:v>21</x:v>
      </x:c>
      <x:c r="W5" s="197" t="n">
        <x:v>22</x:v>
      </x:c>
      <x:c r="X5" s="197" t="n">
        <x:v>23</x:v>
      </x:c>
      <x:c r="Y5" s="197" t="n">
        <x:v>24</x:v>
      </x:c>
      <x:c r="Z5" s="197" t="n">
        <x:v>25</x:v>
      </x:c>
      <x:c r="AA5" s="197" t="n">
        <x:v>26</x:v>
      </x:c>
      <x:c r="AB5" s="197" t="n">
        <x:v>27</x:v>
      </x:c>
      <x:c r="AC5" s="197" t="n">
        <x:v>28</x:v>
      </x:c>
      <x:c r="AD5" s="197" t="n">
        <x:v>29</x:v>
      </x:c>
      <x:c r="AE5" s="197" t="n">
        <x:v>30</x:v>
      </x:c>
      <x:c r="AF5" s="197" t="n">
        <x:v>31</x:v>
      </x:c>
      <x:c r="AG5" s="197" t="n">
        <x:v>32</x:v>
      </x:c>
      <x:c r="AH5" s="197" t="n">
        <x:v>33</x:v>
      </x:c>
      <x:c r="AI5" s="197" t="n">
        <x:v>34</x:v>
      </x:c>
      <x:c r="AJ5" s="197" t="n">
        <x:v>35</x:v>
      </x:c>
      <x:c r="AK5" s="197" t="n">
        <x:v>36</x:v>
      </x:c>
    </x:row>
    <x:row r="6">
      <x:c r="A6" s="134"/>
      <x:c r="B6" s="134"/>
      <x:c r="C6" s="134"/>
      <x:c r="D6" s="134"/>
      <x:c r="E6" s="134"/>
      <x:c r="F6" s="134"/>
      <x:c r="G6" s="134"/>
      <x:c r="H6" s="134"/>
      <x:c r="I6" s="134"/>
      <x:c r="J6" s="134"/>
      <x:c r="K6" s="134"/>
      <x:c r="L6" s="134"/>
      <x:c r="M6" s="134"/>
      <x:c r="N6" s="134"/>
      <x:c r="O6" s="134"/>
      <x:c r="P6" s="134"/>
      <x:c r="Q6" s="134"/>
      <x:c r="R6" s="134"/>
      <x:c r="S6" s="134"/>
      <x:c r="T6" s="134"/>
      <x:c r="U6" s="134"/>
      <x:c r="V6" s="134"/>
      <x:c r="W6" s="134"/>
      <x:c r="X6" s="134"/>
      <x:c r="Y6" s="134"/>
      <x:c r="Z6" s="134"/>
      <x:c r="AA6" s="134"/>
      <x:c r="AB6" s="134"/>
      <x:c r="AC6" s="134"/>
      <x:c r="AD6" s="134"/>
      <x:c r="AE6" s="134"/>
      <x:c r="AF6" s="134"/>
      <x:c r="AG6" s="134"/>
      <x:c r="AH6" s="134"/>
      <x:c r="AI6" s="134"/>
      <x:c r="AJ6" s="134"/>
      <x:c r="AK6" s="134"/>
    </x:row>
    <x:row r="7">
      <x:c r="A7" s="108" t="str">
        <x:v>B2C ACQUISITION &amp; RETENTION</x:v>
      </x:c>
      <x:c r="B7" s="108" t="str">
        <x:v>B2C ACQUISITION &amp; RETENTION</x:v>
      </x:c>
      <x:c r="C7" s="108" t="str">
        <x:v>B2C ACQUISITION &amp; RETENTION</x:v>
      </x:c>
      <x:c r="D7" s="108" t="str">
        <x:v>B2C ACQUISITION &amp; RETENTION</x:v>
      </x:c>
      <x:c r="E7" s="108" t="str">
        <x:v>B2C ACQUISITION &amp; RETENTION</x:v>
      </x:c>
      <x:c r="F7" s="108" t="str">
        <x:v>B2C ACQUISITION &amp; RETENTION</x:v>
      </x:c>
      <x:c r="G7" s="108" t="str">
        <x:v>B2C ACQUISITION &amp; RETENTION</x:v>
      </x:c>
      <x:c r="H7" s="108" t="str">
        <x:v>B2C ACQUISITION &amp; RETENTION</x:v>
      </x:c>
      <x:c r="I7" s="108" t="str">
        <x:v>B2C ACQUISITION &amp; RETENTION</x:v>
      </x:c>
      <x:c r="J7" s="108" t="str">
        <x:v>B2C ACQUISITION &amp; RETENTION</x:v>
      </x:c>
      <x:c r="K7" s="108" t="str">
        <x:v>B2C ACQUISITION &amp; RETENTION</x:v>
      </x:c>
      <x:c r="L7" s="108" t="str">
        <x:v>B2C ACQUISITION &amp; RETENTION</x:v>
      </x:c>
      <x:c r="M7" s="108" t="str">
        <x:v>B2C ACQUISITION &amp; RETENTION</x:v>
      </x:c>
      <x:c r="N7" s="108" t="str">
        <x:v>B2C ACQUISITION &amp; RETENTION</x:v>
      </x:c>
      <x:c r="O7" s="108" t="str">
        <x:v>B2C ACQUISITION &amp; RETENTION</x:v>
      </x:c>
      <x:c r="P7" s="108" t="str">
        <x:v>B2C ACQUISITION &amp; RETENTION</x:v>
      </x:c>
      <x:c r="Q7" s="108" t="str">
        <x:v>B2C ACQUISITION &amp; RETENTION</x:v>
      </x:c>
      <x:c r="R7" s="108" t="str">
        <x:v>B2C ACQUISITION &amp; RETENTION</x:v>
      </x:c>
      <x:c r="S7" s="108" t="str">
        <x:v>B2C ACQUISITION &amp; RETENTION</x:v>
      </x:c>
      <x:c r="T7" s="108" t="str">
        <x:v>B2C ACQUISITION &amp; RETENTION</x:v>
      </x:c>
      <x:c r="U7" s="108" t="str">
        <x:v>B2C ACQUISITION &amp; RETENTION</x:v>
      </x:c>
      <x:c r="V7" s="108" t="str">
        <x:v>B2C ACQUISITION &amp; RETENTION</x:v>
      </x:c>
      <x:c r="W7" s="108" t="str">
        <x:v>B2C ACQUISITION &amp; RETENTION</x:v>
      </x:c>
      <x:c r="X7" s="108" t="str">
        <x:v>B2C ACQUISITION &amp; RETENTION</x:v>
      </x:c>
      <x:c r="Y7" s="108" t="str">
        <x:v>B2C ACQUISITION &amp; RETENTION</x:v>
      </x:c>
      <x:c r="Z7" s="108" t="str">
        <x:v>B2C ACQUISITION &amp; RETENTION</x:v>
      </x:c>
      <x:c r="AA7" s="108" t="str">
        <x:v>B2C ACQUISITION &amp; RETENTION</x:v>
      </x:c>
      <x:c r="AB7" s="108" t="str">
        <x:v>B2C ACQUISITION &amp; RETENTION</x:v>
      </x:c>
      <x:c r="AC7" s="108" t="str">
        <x:v>B2C ACQUISITION &amp; RETENTION</x:v>
      </x:c>
      <x:c r="AD7" s="108" t="str">
        <x:v>B2C ACQUISITION &amp; RETENTION</x:v>
      </x:c>
      <x:c r="AE7" s="108" t="str">
        <x:v>B2C ACQUISITION &amp; RETENTION</x:v>
      </x:c>
      <x:c r="AF7" s="108" t="str">
        <x:v>B2C ACQUISITION &amp; RETENTION</x:v>
      </x:c>
      <x:c r="AG7" s="108" t="str">
        <x:v>B2C ACQUISITION &amp; RETENTION</x:v>
      </x:c>
      <x:c r="AH7" s="108" t="str">
        <x:v>B2C ACQUISITION &amp; RETENTION</x:v>
      </x:c>
      <x:c r="AI7" s="108" t="str">
        <x:v>B2C ACQUISITION &amp; RETENTION</x:v>
      </x:c>
      <x:c r="AJ7" s="108" t="str">
        <x:v>B2C ACQUISITION &amp; RETENTION</x:v>
      </x:c>
      <x:c r="AK7" s="108" t="str">
        <x:v>B2C ACQUISITION &amp; RETENTION</x:v>
      </x:c>
    </x:row>
    <x:row r="8">
      <x:c r="A8" s="134" t="str">
        <x:v>Website visits</x:v>
      </x:c>
      <x:c r="B8" s="198" t="n">
        <x:f>'Assumptions'!$F$7*(1+'Assumptions'!$F$8)^(B$5-1)</x:f>
        <x:v>1000</x:v>
      </x:c>
      <x:c r="C8" s="198" t="n">
        <x:f>'Assumptions'!$F$7*(1+'Assumptions'!$F$8)^(C$5-1)</x:f>
        <x:v>1120</x:v>
      </x:c>
      <x:c r="D8" s="198" t="n">
        <x:f>'Assumptions'!$F$7*(1+'Assumptions'!$F$8)^(D$5-1)</x:f>
        <x:v>1254.4</x:v>
      </x:c>
      <x:c r="E8" s="198" t="n">
        <x:f>'Assumptions'!$F$7*(1+'Assumptions'!$F$8)^(E$5-1)</x:f>
        <x:v>1404.9280000000003</x:v>
      </x:c>
      <x:c r="F8" s="198" t="n">
        <x:f>'Assumptions'!$F$7*(1+'Assumptions'!$F$8)^(F$5-1)</x:f>
        <x:v>1573.5193600000007</x:v>
      </x:c>
      <x:c r="G8" s="198" t="n">
        <x:f>'Assumptions'!$F$7*(1+'Assumptions'!$F$8)^(G$5-1)</x:f>
        <x:v>1762.3416832000007</x:v>
      </x:c>
      <x:c r="H8" s="198" t="n">
        <x:f>'Assumptions'!$F$7*(1+'Assumptions'!$F$8)^(H$5-1)</x:f>
        <x:v>1973.822685184001</x:v>
      </x:c>
      <x:c r="I8" s="198" t="n">
        <x:f>'Assumptions'!$F$7*(1+'Assumptions'!$F$8)^(I$5-1)</x:f>
        <x:v>2210.6814074060812</x:v>
      </x:c>
      <x:c r="J8" s="198" t="n">
        <x:f>'Assumptions'!$F$7*(1+'Assumptions'!$F$8)^(J$5-1)</x:f>
        <x:v>2475.9631762948115</x:v>
      </x:c>
      <x:c r="K8" s="198" t="n">
        <x:f>'Assumptions'!$F$7*(1+'Assumptions'!$F$8)^(K$5-1)</x:f>
        <x:v>2773.078757450189</x:v>
      </x:c>
      <x:c r="L8" s="198" t="n">
        <x:f>'Assumptions'!$F$7*(1+'Assumptions'!$F$8)^(L$5-1)</x:f>
        <x:v>3105.8482083442123</x:v>
      </x:c>
      <x:c r="M8" s="198" t="n">
        <x:f>'Assumptions'!$F$7*(1+'Assumptions'!$F$8)^(M$5-1)</x:f>
        <x:v>3478.549993345518</x:v>
      </x:c>
      <x:c r="N8" s="198" t="n">
        <x:f>'Assumptions'!$F$7*(1+'Assumptions'!$F$8)^(N$5-1)</x:f>
        <x:v>3895.9759925469807</x:v>
      </x:c>
      <x:c r="O8" s="198" t="n">
        <x:f>'Assumptions'!$F$7*(1+'Assumptions'!$F$8)^(O$5-1)</x:f>
        <x:v>4363.493111652619</x:v>
      </x:c>
      <x:c r="P8" s="198" t="n">
        <x:f>'Assumptions'!$F$7*(1+'Assumptions'!$F$8)^(P$5-1)</x:f>
        <x:v>4887.112285050933</x:v>
      </x:c>
      <x:c r="Q8" s="198" t="n">
        <x:f>'Assumptions'!$F$7*(1+'Assumptions'!$F$8)^(Q$5-1)</x:f>
        <x:v>5473.565759257045</x:v>
      </x:c>
      <x:c r="R8" s="198" t="n">
        <x:f>'Assumptions'!$F$7*(1+'Assumptions'!$F$8)^(R$5-1)</x:f>
        <x:v>6130.3936503678915</x:v>
      </x:c>
      <x:c r="S8" s="198" t="n">
        <x:f>'Assumptions'!$F$7*(1+'Assumptions'!$F$8)^(S$5-1)</x:f>
        <x:v>6866.040888412039</x:v>
      </x:c>
      <x:c r="T8" s="198" t="n">
        <x:f>'Assumptions'!$F$7*(1+'Assumptions'!$F$8)^(T$5-1)</x:f>
        <x:v>7689.965795021485</x:v>
      </x:c>
      <x:c r="U8" s="198" t="n">
        <x:f>'Assumptions'!$F$7*(1+'Assumptions'!$F$8)^(U$5-1)</x:f>
        <x:v>8612.761690424064</x:v>
      </x:c>
      <x:c r="V8" s="198" t="n">
        <x:f>'Assumptions'!$F$7*(1+'Assumptions'!$F$8)^(V$5-1)</x:f>
        <x:v>9646.293093274951</x:v>
      </x:c>
      <x:c r="W8" s="198" t="n">
        <x:f>'Assumptions'!$F$7*(1+'Assumptions'!$F$8)^(W$5-1)</x:f>
        <x:v>10803.848264467948</x:v>
      </x:c>
      <x:c r="X8" s="198" t="n">
        <x:f>'Assumptions'!$F$7*(1+'Assumptions'!$F$8)^(X$5-1)</x:f>
        <x:v>12100.310056204104</x:v>
      </x:c>
      <x:c r="Y8" s="198" t="n">
        <x:f>'Assumptions'!$F$7*(1+'Assumptions'!$F$8)^(Y$5-1)</x:f>
        <x:v>13552.347262948595</x:v>
      </x:c>
      <x:c r="Z8" s="198" t="n">
        <x:f>'Assumptions'!$F$7*(1+'Assumptions'!$F$8)^(Z$5-1)</x:f>
        <x:v>15178.628934502429</x:v>
      </x:c>
      <x:c r="AA8" s="198" t="n">
        <x:f>'Assumptions'!$F$7*(1+'Assumptions'!$F$8)^(AA$5-1)</x:f>
        <x:v>17000.064406642723</x:v>
      </x:c>
      <x:c r="AB8" s="198" t="n">
        <x:f>'Assumptions'!$F$7*(1+'Assumptions'!$F$8)^(AB$5-1)</x:f>
        <x:v>19040.07213543985</x:v>
      </x:c>
      <x:c r="AC8" s="198" t="n">
        <x:f>'Assumptions'!$F$7*(1+'Assumptions'!$F$8)^(AC$5-1)</x:f>
        <x:v>21324.880791692634</x:v>
      </x:c>
      <x:c r="AD8" s="198" t="n">
        <x:f>'Assumptions'!$F$7*(1+'Assumptions'!$F$8)^(AD$5-1)</x:f>
        <x:v>23883.866486695755</x:v>
      </x:c>
      <x:c r="AE8" s="198" t="n">
        <x:f>'Assumptions'!$F$7*(1+'Assumptions'!$F$8)^(AE$5-1)</x:f>
        <x:v>26749.930465099245</x:v>
      </x:c>
      <x:c r="AF8" s="198" t="n">
        <x:f>'Assumptions'!$F$7*(1+'Assumptions'!$F$8)^(AF$5-1)</x:f>
        <x:v>29959.92212091116</x:v>
      </x:c>
      <x:c r="AG8" s="198" t="n">
        <x:f>'Assumptions'!$F$7*(1+'Assumptions'!$F$8)^(AG$5-1)</x:f>
        <x:v>33555.1127754205</x:v>
      </x:c>
      <x:c r="AH8" s="198" t="n">
        <x:f>'Assumptions'!$F$7*(1+'Assumptions'!$F$8)^(AH$5-1)</x:f>
        <x:v>37581.72630847096</x:v>
      </x:c>
      <x:c r="AI8" s="198" t="n">
        <x:f>'Assumptions'!$F$7*(1+'Assumptions'!$F$8)^(AI$5-1)</x:f>
        <x:v>42091.53346548749</x:v>
      </x:c>
      <x:c r="AJ8" s="198" t="n">
        <x:f>'Assumptions'!$F$7*(1+'Assumptions'!$F$8)^(AJ$5-1)</x:f>
        <x:v>47142.51748134599</x:v>
      </x:c>
      <x:c r="AK8" s="198" t="n">
        <x:f>'Assumptions'!$F$7*(1+'Assumptions'!$F$8)^(AK$5-1)</x:f>
        <x:v>52799.619579107515</x:v>
      </x:c>
    </x:row>
    <x:row r="9">
      <x:c r="A9" s="134" t="str">
        <x:v>Visitor-to-signup rate</x:v>
      </x:c>
      <x:c r="B9" s="199" t="n">
        <x:f>'Assumptions'!$F$9</x:f>
        <x:v>0.08</x:v>
      </x:c>
      <x:c r="C9" s="199" t="n">
        <x:f>'Assumptions'!$F$9</x:f>
        <x:v>0.08</x:v>
      </x:c>
      <x:c r="D9" s="199" t="n">
        <x:f>'Assumptions'!$F$9</x:f>
        <x:v>0.08</x:v>
      </x:c>
      <x:c r="E9" s="199" t="n">
        <x:f>'Assumptions'!$F$9</x:f>
        <x:v>0.08</x:v>
      </x:c>
      <x:c r="F9" s="199" t="n">
        <x:f>'Assumptions'!$F$9</x:f>
        <x:v>0.08</x:v>
      </x:c>
      <x:c r="G9" s="199" t="n">
        <x:f>'Assumptions'!$F$9</x:f>
        <x:v>0.08</x:v>
      </x:c>
      <x:c r="H9" s="199" t="n">
        <x:f>'Assumptions'!$F$9</x:f>
        <x:v>0.08</x:v>
      </x:c>
      <x:c r="I9" s="199" t="n">
        <x:f>'Assumptions'!$F$9</x:f>
        <x:v>0.08</x:v>
      </x:c>
      <x:c r="J9" s="199" t="n">
        <x:f>'Assumptions'!$F$9</x:f>
        <x:v>0.08</x:v>
      </x:c>
      <x:c r="K9" s="199" t="n">
        <x:f>'Assumptions'!$F$9</x:f>
        <x:v>0.08</x:v>
      </x:c>
      <x:c r="L9" s="199" t="n">
        <x:f>'Assumptions'!$F$9</x:f>
        <x:v>0.08</x:v>
      </x:c>
      <x:c r="M9" s="199" t="n">
        <x:f>'Assumptions'!$F$9</x:f>
        <x:v>0.08</x:v>
      </x:c>
      <x:c r="N9" s="199" t="n">
        <x:f>'Assumptions'!$F$9</x:f>
        <x:v>0.08</x:v>
      </x:c>
      <x:c r="O9" s="199" t="n">
        <x:f>'Assumptions'!$F$9</x:f>
        <x:v>0.08</x:v>
      </x:c>
      <x:c r="P9" s="199" t="n">
        <x:f>'Assumptions'!$F$9</x:f>
        <x:v>0.08</x:v>
      </x:c>
      <x:c r="Q9" s="199" t="n">
        <x:f>'Assumptions'!$F$9</x:f>
        <x:v>0.08</x:v>
      </x:c>
      <x:c r="R9" s="199" t="n">
        <x:f>'Assumptions'!$F$9</x:f>
        <x:v>0.08</x:v>
      </x:c>
      <x:c r="S9" s="199" t="n">
        <x:f>'Assumptions'!$F$9</x:f>
        <x:v>0.08</x:v>
      </x:c>
      <x:c r="T9" s="199" t="n">
        <x:f>'Assumptions'!$F$9</x:f>
        <x:v>0.08</x:v>
      </x:c>
      <x:c r="U9" s="199" t="n">
        <x:f>'Assumptions'!$F$9</x:f>
        <x:v>0.08</x:v>
      </x:c>
      <x:c r="V9" s="199" t="n">
        <x:f>'Assumptions'!$F$9</x:f>
        <x:v>0.08</x:v>
      </x:c>
      <x:c r="W9" s="199" t="n">
        <x:f>'Assumptions'!$F$9</x:f>
        <x:v>0.08</x:v>
      </x:c>
      <x:c r="X9" s="199" t="n">
        <x:f>'Assumptions'!$F$9</x:f>
        <x:v>0.08</x:v>
      </x:c>
      <x:c r="Y9" s="199" t="n">
        <x:f>'Assumptions'!$F$9</x:f>
        <x:v>0.08</x:v>
      </x:c>
      <x:c r="Z9" s="199" t="n">
        <x:f>'Assumptions'!$F$9</x:f>
        <x:v>0.08</x:v>
      </x:c>
      <x:c r="AA9" s="199" t="n">
        <x:f>'Assumptions'!$F$9</x:f>
        <x:v>0.08</x:v>
      </x:c>
      <x:c r="AB9" s="199" t="n">
        <x:f>'Assumptions'!$F$9</x:f>
        <x:v>0.08</x:v>
      </x:c>
      <x:c r="AC9" s="199" t="n">
        <x:f>'Assumptions'!$F$9</x:f>
        <x:v>0.08</x:v>
      </x:c>
      <x:c r="AD9" s="199" t="n">
        <x:f>'Assumptions'!$F$9</x:f>
        <x:v>0.08</x:v>
      </x:c>
      <x:c r="AE9" s="199" t="n">
        <x:f>'Assumptions'!$F$9</x:f>
        <x:v>0.08</x:v>
      </x:c>
      <x:c r="AF9" s="199" t="n">
        <x:f>'Assumptions'!$F$9</x:f>
        <x:v>0.08</x:v>
      </x:c>
      <x:c r="AG9" s="199" t="n">
        <x:f>'Assumptions'!$F$9</x:f>
        <x:v>0.08</x:v>
      </x:c>
      <x:c r="AH9" s="199" t="n">
        <x:f>'Assumptions'!$F$9</x:f>
        <x:v>0.08</x:v>
      </x:c>
      <x:c r="AI9" s="199" t="n">
        <x:f>'Assumptions'!$F$9</x:f>
        <x:v>0.08</x:v>
      </x:c>
      <x:c r="AJ9" s="199" t="n">
        <x:f>'Assumptions'!$F$9</x:f>
        <x:v>0.08</x:v>
      </x:c>
      <x:c r="AK9" s="199" t="n">
        <x:f>'Assumptions'!$F$9</x:f>
        <x:v>0.08</x:v>
      </x:c>
    </x:row>
    <x:row r="10">
      <x:c r="A10" s="134" t="str">
        <x:v>New free signups</x:v>
      </x:c>
      <x:c r="B10" s="200" t="n">
        <x:f>B8*B9</x:f>
        <x:v>80</x:v>
      </x:c>
      <x:c r="C10" s="200" t="n">
        <x:f>C8*C9</x:f>
        <x:v>89.60000000000001</x:v>
      </x:c>
      <x:c r="D10" s="200" t="n">
        <x:f>D8*D9</x:f>
        <x:v>100.352</x:v>
      </x:c>
      <x:c r="E10" s="200" t="n">
        <x:f>E8*E9</x:f>
        <x:v>112.39424000000002</x:v>
      </x:c>
      <x:c r="F10" s="200" t="n">
        <x:f>F8*F9</x:f>
        <x:v>125.88154880000006</x:v>
      </x:c>
      <x:c r="G10" s="200" t="n">
        <x:f>G8*G9</x:f>
        <x:v>140.98733465600006</x:v>
      </x:c>
      <x:c r="H10" s="200" t="n">
        <x:f>H8*H9</x:f>
        <x:v>157.9058148147201</x:v>
      </x:c>
      <x:c r="I10" s="200" t="n">
        <x:f>I8*I9</x:f>
        <x:v>176.85451259248651</x:v>
      </x:c>
      <x:c r="J10" s="200" t="n">
        <x:f>J8*J9</x:f>
        <x:v>198.07705410358494</x:v>
      </x:c>
      <x:c r="K10" s="200" t="n">
        <x:f>K8*K9</x:f>
        <x:v>221.84630059601514</x:v>
      </x:c>
      <x:c r="L10" s="200" t="n">
        <x:f>L8*L9</x:f>
        <x:v>248.46785666753698</x:v>
      </x:c>
      <x:c r="M10" s="200" t="n">
        <x:f>M8*M9</x:f>
        <x:v>278.2839994676414</x:v>
      </x:c>
      <x:c r="N10" s="200" t="n">
        <x:f>N8*N9</x:f>
        <x:v>311.6780794037585</x:v>
      </x:c>
      <x:c r="O10" s="200" t="n">
        <x:f>O8*O9</x:f>
        <x:v>349.0794489322095</x:v>
      </x:c>
      <x:c r="P10" s="200" t="n">
        <x:f>P8*P9</x:f>
        <x:v>390.96898280407464</x:v>
      </x:c>
      <x:c r="Q10" s="200" t="n">
        <x:f>Q8*Q9</x:f>
        <x:v>437.88526074056364</x:v>
      </x:c>
      <x:c r="R10" s="200" t="n">
        <x:f>R8*R9</x:f>
        <x:v>490.43149202943135</x:v>
      </x:c>
      <x:c r="S10" s="200" t="n">
        <x:f>S8*S9</x:f>
        <x:v>549.2832710729631</x:v>
      </x:c>
      <x:c r="T10" s="200" t="n">
        <x:f>T8*T9</x:f>
        <x:v>615.1972636017189</x:v>
      </x:c>
      <x:c r="U10" s="200" t="n">
        <x:f>U8*U9</x:f>
        <x:v>689.0209352339251</x:v>
      </x:c>
      <x:c r="V10" s="200" t="n">
        <x:f>V8*V9</x:f>
        <x:v>771.7034474619961</x:v>
      </x:c>
      <x:c r="W10" s="200" t="n">
        <x:f>W8*W9</x:f>
        <x:v>864.3078611574358</x:v>
      </x:c>
      <x:c r="X10" s="200" t="n">
        <x:f>X8*X9</x:f>
        <x:v>968.0248044963283</x:v>
      </x:c>
      <x:c r="Y10" s="200" t="n">
        <x:f>Y8*Y9</x:f>
        <x:v>1084.1877810358876</x:v>
      </x:c>
      <x:c r="Z10" s="200" t="n">
        <x:f>Z8*Z9</x:f>
        <x:v>1214.2903147601944</x:v>
      </x:c>
      <x:c r="AA10" s="200" t="n">
        <x:f>AA8*AA9</x:f>
        <x:v>1360.005152531418</x:v>
      </x:c>
      <x:c r="AB10" s="200" t="n">
        <x:f>AB8*AB9</x:f>
        <x:v>1523.2057708351879</x:v>
      </x:c>
      <x:c r="AC10" s="200" t="n">
        <x:f>AC8*AC9</x:f>
        <x:v>1705.9904633354108</x:v>
      </x:c>
      <x:c r="AD10" s="200" t="n">
        <x:f>AD8*AD9</x:f>
        <x:v>1910.7093189356603</x:v>
      </x:c>
      <x:c r="AE10" s="200" t="n">
        <x:f>AE8*AE9</x:f>
        <x:v>2139.99443720794</x:v>
      </x:c>
      <x:c r="AF10" s="200" t="n">
        <x:f>AF8*AF9</x:f>
        <x:v>2396.7937696728927</x:v>
      </x:c>
      <x:c r="AG10" s="200" t="n">
        <x:f>AG8*AG9</x:f>
        <x:v>2684.40902203364</x:v>
      </x:c>
      <x:c r="AH10" s="200" t="n">
        <x:f>AH8*AH9</x:f>
        <x:v>3006.538104677677</x:v>
      </x:c>
      <x:c r="AI10" s="200" t="n">
        <x:f>AI8*AI9</x:f>
        <x:v>3367.3226772389994</x:v>
      </x:c>
      <x:c r="AJ10" s="200" t="n">
        <x:f>AJ8*AJ9</x:f>
        <x:v>3771.401398507679</x:v>
      </x:c>
      <x:c r="AK10" s="200" t="n">
        <x:f>AK8*AK9</x:f>
        <x:v>4223.969566328601</x:v>
      </x:c>
    </x:row>
    <x:row r="11">
      <x:c r="A11" s="134" t="str">
        <x:v>Signup-to-paid conversion</x:v>
      </x:c>
      <x:c r="B11" s="199" t="n">
        <x:f>'Assumptions'!$F$10</x:f>
        <x:v>0.12</x:v>
      </x:c>
      <x:c r="C11" s="199" t="n">
        <x:f>'Assumptions'!$F$10</x:f>
        <x:v>0.12</x:v>
      </x:c>
      <x:c r="D11" s="199" t="n">
        <x:f>'Assumptions'!$F$10</x:f>
        <x:v>0.12</x:v>
      </x:c>
      <x:c r="E11" s="199" t="n">
        <x:f>'Assumptions'!$F$10</x:f>
        <x:v>0.12</x:v>
      </x:c>
      <x:c r="F11" s="199" t="n">
        <x:f>'Assumptions'!$F$10</x:f>
        <x:v>0.12</x:v>
      </x:c>
      <x:c r="G11" s="199" t="n">
        <x:f>'Assumptions'!$F$10</x:f>
        <x:v>0.12</x:v>
      </x:c>
      <x:c r="H11" s="199" t="n">
        <x:f>'Assumptions'!$F$10</x:f>
        <x:v>0.12</x:v>
      </x:c>
      <x:c r="I11" s="199" t="n">
        <x:f>'Assumptions'!$F$10</x:f>
        <x:v>0.12</x:v>
      </x:c>
      <x:c r="J11" s="199" t="n">
        <x:f>'Assumptions'!$F$10</x:f>
        <x:v>0.12</x:v>
      </x:c>
      <x:c r="K11" s="199" t="n">
        <x:f>'Assumptions'!$F$10</x:f>
        <x:v>0.12</x:v>
      </x:c>
      <x:c r="L11" s="199" t="n">
        <x:f>'Assumptions'!$F$10</x:f>
        <x:v>0.12</x:v>
      </x:c>
      <x:c r="M11" s="199" t="n">
        <x:f>'Assumptions'!$F$10</x:f>
        <x:v>0.12</x:v>
      </x:c>
      <x:c r="N11" s="199" t="n">
        <x:f>'Assumptions'!$F$10</x:f>
        <x:v>0.12</x:v>
      </x:c>
      <x:c r="O11" s="199" t="n">
        <x:f>'Assumptions'!$F$10</x:f>
        <x:v>0.12</x:v>
      </x:c>
      <x:c r="P11" s="199" t="n">
        <x:f>'Assumptions'!$F$10</x:f>
        <x:v>0.12</x:v>
      </x:c>
      <x:c r="Q11" s="199" t="n">
        <x:f>'Assumptions'!$F$10</x:f>
        <x:v>0.12</x:v>
      </x:c>
      <x:c r="R11" s="199" t="n">
        <x:f>'Assumptions'!$F$10</x:f>
        <x:v>0.12</x:v>
      </x:c>
      <x:c r="S11" s="199" t="n">
        <x:f>'Assumptions'!$F$10</x:f>
        <x:v>0.12</x:v>
      </x:c>
      <x:c r="T11" s="199" t="n">
        <x:f>'Assumptions'!$F$10</x:f>
        <x:v>0.12</x:v>
      </x:c>
      <x:c r="U11" s="199" t="n">
        <x:f>'Assumptions'!$F$10</x:f>
        <x:v>0.12</x:v>
      </x:c>
      <x:c r="V11" s="199" t="n">
        <x:f>'Assumptions'!$F$10</x:f>
        <x:v>0.12</x:v>
      </x:c>
      <x:c r="W11" s="199" t="n">
        <x:f>'Assumptions'!$F$10</x:f>
        <x:v>0.12</x:v>
      </x:c>
      <x:c r="X11" s="199" t="n">
        <x:f>'Assumptions'!$F$10</x:f>
        <x:v>0.12</x:v>
      </x:c>
      <x:c r="Y11" s="199" t="n">
        <x:f>'Assumptions'!$F$10</x:f>
        <x:v>0.12</x:v>
      </x:c>
      <x:c r="Z11" s="199" t="n">
        <x:f>'Assumptions'!$F$10</x:f>
        <x:v>0.12</x:v>
      </x:c>
      <x:c r="AA11" s="199" t="n">
        <x:f>'Assumptions'!$F$10</x:f>
        <x:v>0.12</x:v>
      </x:c>
      <x:c r="AB11" s="199" t="n">
        <x:f>'Assumptions'!$F$10</x:f>
        <x:v>0.12</x:v>
      </x:c>
      <x:c r="AC11" s="199" t="n">
        <x:f>'Assumptions'!$F$10</x:f>
        <x:v>0.12</x:v>
      </x:c>
      <x:c r="AD11" s="199" t="n">
        <x:f>'Assumptions'!$F$10</x:f>
        <x:v>0.12</x:v>
      </x:c>
      <x:c r="AE11" s="199" t="n">
        <x:f>'Assumptions'!$F$10</x:f>
        <x:v>0.12</x:v>
      </x:c>
      <x:c r="AF11" s="199" t="n">
        <x:f>'Assumptions'!$F$10</x:f>
        <x:v>0.12</x:v>
      </x:c>
      <x:c r="AG11" s="199" t="n">
        <x:f>'Assumptions'!$F$10</x:f>
        <x:v>0.12</x:v>
      </x:c>
      <x:c r="AH11" s="199" t="n">
        <x:f>'Assumptions'!$F$10</x:f>
        <x:v>0.12</x:v>
      </x:c>
      <x:c r="AI11" s="199" t="n">
        <x:f>'Assumptions'!$F$10</x:f>
        <x:v>0.12</x:v>
      </x:c>
      <x:c r="AJ11" s="199" t="n">
        <x:f>'Assumptions'!$F$10</x:f>
        <x:v>0.12</x:v>
      </x:c>
      <x:c r="AK11" s="199" t="n">
        <x:f>'Assumptions'!$F$10</x:f>
        <x:v>0.12</x:v>
      </x:c>
    </x:row>
    <x:row r="12">
      <x:c r="A12" s="134" t="str">
        <x:v>New paid individuals</x:v>
      </x:c>
      <x:c r="B12" s="200" t="n">
        <x:f>B10*B11</x:f>
        <x:v>9.6</x:v>
      </x:c>
      <x:c r="C12" s="200" t="n">
        <x:f>C10*C11</x:f>
        <x:v>10.752</x:v>
      </x:c>
      <x:c r="D12" s="200" t="n">
        <x:f>D10*D11</x:f>
        <x:v>12.04224</x:v>
      </x:c>
      <x:c r="E12" s="200" t="n">
        <x:f>E10*E11</x:f>
        <x:v>13.487308800000003</x:v>
      </x:c>
      <x:c r="F12" s="200" t="n">
        <x:f>F10*F11</x:f>
        <x:v>15.105785856000006</x:v>
      </x:c>
      <x:c r="G12" s="200" t="n">
        <x:f>G10*G11</x:f>
        <x:v>16.918480158720005</x:v>
      </x:c>
      <x:c r="H12" s="200" t="n">
        <x:f>H10*H11</x:f>
        <x:v>18.94869777776641</x:v>
      </x:c>
      <x:c r="I12" s="200" t="n">
        <x:f>I10*I11</x:f>
        <x:v>21.22254151109838</x:v>
      </x:c>
      <x:c r="J12" s="200" t="n">
        <x:f>J10*J11</x:f>
        <x:v>23.76924649243019</x:v>
      </x:c>
      <x:c r="K12" s="200" t="n">
        <x:f>K10*K11</x:f>
        <x:v>26.621556071521816</x:v>
      </x:c>
      <x:c r="L12" s="200" t="n">
        <x:f>L10*L11</x:f>
        <x:v>29.816142800104437</x:v>
      </x:c>
      <x:c r="M12" s="200" t="n">
        <x:f>M10*M11</x:f>
        <x:v>33.39407993611697</x:v>
      </x:c>
      <x:c r="N12" s="200" t="n">
        <x:f>N10*N11</x:f>
        <x:v>37.40136952845102</x:v>
      </x:c>
      <x:c r="O12" s="200" t="n">
        <x:f>O10*O11</x:f>
        <x:v>41.88953387186514</x:v>
      </x:c>
      <x:c r="P12" s="200" t="n">
        <x:f>P10*P11</x:f>
        <x:v>46.91627793648895</x:v>
      </x:c>
      <x:c r="Q12" s="200" t="n">
        <x:f>Q10*Q11</x:f>
        <x:v>52.54623128886764</x:v>
      </x:c>
      <x:c r="R12" s="200" t="n">
        <x:f>R10*R11</x:f>
        <x:v>58.851779043531764</x:v>
      </x:c>
      <x:c r="S12" s="200" t="n">
        <x:f>S10*S11</x:f>
        <x:v>65.91399252875557</x:v>
      </x:c>
      <x:c r="T12" s="200" t="n">
        <x:f>T10*T11</x:f>
        <x:v>73.82367163220626</x:v>
      </x:c>
      <x:c r="U12" s="200" t="n">
        <x:f>U10*U11</x:f>
        <x:v>82.682512228071</x:v>
      </x:c>
      <x:c r="V12" s="200" t="n">
        <x:f>V10*V11</x:f>
        <x:v>92.60441369543953</x:v>
      </x:c>
      <x:c r="W12" s="200" t="n">
        <x:f>W10*W11</x:f>
        <x:v>103.71694333889229</x:v>
      </x:c>
      <x:c r="X12" s="200" t="n">
        <x:f>X10*X11</x:f>
        <x:v>116.1629765395594</x:v>
      </x:c>
      <x:c r="Y12" s="200" t="n">
        <x:f>Y10*Y11</x:f>
        <x:v>130.1025337243065</x:v>
      </x:c>
      <x:c r="Z12" s="200" t="n">
        <x:f>Z10*Z11</x:f>
        <x:v>145.71483777122333</x:v>
      </x:c>
      <x:c r="AA12" s="200" t="n">
        <x:f>AA10*AA11</x:f>
        <x:v>163.20061830377014</x:v>
      </x:c>
      <x:c r="AB12" s="200" t="n">
        <x:f>AB10*AB11</x:f>
        <x:v>182.78469250022255</x:v>
      </x:c>
      <x:c r="AC12" s="200" t="n">
        <x:f>AC10*AC11</x:f>
        <x:v>204.7188556002493</x:v>
      </x:c>
      <x:c r="AD12" s="200" t="n">
        <x:f>AD10*AD11</x:f>
        <x:v>229.28511827227922</x:v>
      </x:c>
      <x:c r="AE12" s="200" t="n">
        <x:f>AE10*AE11</x:f>
        <x:v>256.7993324649528</x:v>
      </x:c>
      <x:c r="AF12" s="200" t="n">
        <x:f>AF10*AF11</x:f>
        <x:v>287.6152523607471</x:v>
      </x:c>
      <x:c r="AG12" s="200" t="n">
        <x:f>AG10*AG11</x:f>
        <x:v>322.1290826440368</x:v>
      </x:c>
      <x:c r="AH12" s="200" t="n">
        <x:f>AH10*AH11</x:f>
        <x:v>360.7845725613212</x:v>
      </x:c>
      <x:c r="AI12" s="200" t="n">
        <x:f>AI10*AI11</x:f>
        <x:v>404.0787212686799</x:v>
      </x:c>
      <x:c r="AJ12" s="200" t="n">
        <x:f>AJ10*AJ11</x:f>
        <x:v>452.5681678209215</x:v>
      </x:c>
      <x:c r="AK12" s="200" t="n">
        <x:f>AK10*AK11</x:f>
        <x:v>506.8763479594321</x:v>
      </x:c>
    </x:row>
    <x:row r="13">
      <x:c r="A13" s="134" t="str">
        <x:v>Beginning paid individuals</x:v>
      </x:c>
      <x:c r="B13" s="200" t="n">
        <x:f>0</x:f>
        <x:v>0</x:v>
      </x:c>
      <x:c r="C13" s="200" t="n">
        <x:f>B16</x:f>
        <x:v>9.6</x:v>
      </x:c>
      <x:c r="D13" s="200" t="n">
        <x:f>C16</x:f>
        <x:v>19.776</x:v>
      </x:c>
      <x:c r="E13" s="200" t="n">
        <x:f>D16</x:f>
        <x:v>30.63168</x:v>
      </x:c>
      <x:c r="F13" s="200" t="n">
        <x:f>E16</x:f>
        <x:v>42.281088000000004</x:v>
      </x:c>
      <x:c r="G13" s="200" t="n">
        <x:f>F16</x:f>
        <x:v>54.85000857600001</x:v>
      </x:c>
      <x:c r="H13" s="200" t="n">
        <x:f>G16</x:f>
        <x:v>68.47748822016001</x:v>
      </x:c>
      <x:c r="I13" s="200" t="n">
        <x:f>H16</x:f>
        <x:v>83.31753670471683</x:v>
      </x:c>
      <x:c r="J13" s="200" t="n">
        <x:f>I16</x:f>
        <x:v>99.5410260135322</x:v>
      </x:c>
      <x:c r="K13" s="200" t="n">
        <x:f>J16</x:f>
        <x:v>117.33781094515045</x:v>
      </x:c>
      <x:c r="L13" s="200" t="n">
        <x:f>K16</x:f>
        <x:v>136.91909835996324</x:v>
      </x:c>
      <x:c r="M13" s="200" t="n">
        <x:f>L16</x:f>
        <x:v>158.5200952584699</x:v>
      </x:c>
      <x:c r="N13" s="200" t="n">
        <x:f>M16</x:f>
        <x:v>182.40296947907865</x:v>
      </x:c>
      <x:c r="O13" s="200" t="n">
        <x:f>N16</x:f>
        <x:v>208.86016083878496</x:v>
      </x:c>
      <x:c r="P13" s="200" t="n">
        <x:f>O16</x:f>
        <x:v>238.218085060323</x:v>
      </x:c>
      <x:c r="Q13" s="200" t="n">
        <x:f>P16</x:f>
        <x:v>270.84127789319257</x:v>
      </x:c>
      <x:c r="R13" s="200" t="n">
        <x:f>Q16</x:f>
        <x:v>307.1370325084687</x:v>
      </x:c>
      <x:c r="S13" s="200" t="n">
        <x:f>R16</x:f>
        <x:v>347.5605896014923</x:v>
      </x:c>
      <x:c r="T13" s="200" t="n">
        <x:f>S16</x:f>
        <x:v>392.62094675415835</x:v>
      </x:c>
      <x:c r="U13" s="200" t="n">
        <x:f>T16</x:f>
        <x:v>442.8873615811151</x:v>
      </x:c>
      <x:c r="V13" s="200" t="n">
        <x:f>U16</x:f>
        <x:v>498.9966321143192</x:v>
      </x:c>
      <x:c r="W13" s="200" t="n">
        <x:f>V16</x:f>
        <x:v>561.6612478828996</x:v>
      </x:c>
      <x:c r="X13" s="200" t="n">
        <x:f>W16</x:f>
        <x:v>631.6785163488179</x:v>
      </x:c>
      <x:c r="Y13" s="200" t="n">
        <x:f>X16</x:f>
        <x:v>709.9407819074482</x:v>
      </x:c>
      <x:c r="Z13" s="200" t="n">
        <x:f>Y16</x:f>
        <x:v>797.4468687173078</x:v>
      </x:c>
      <x:c r="AA13" s="200" t="n">
        <x:f>Z16</x:f>
        <x:v>895.3148943654926</x:v>
      </x:c>
      <x:c r="AB13" s="200" t="n">
        <x:f>AA16</x:f>
        <x:v>1004.7966190073332</x:v>
      </x:c>
      <x:c r="AC13" s="200" t="n">
        <x:f>AB16</x:f>
        <x:v>1127.2935143671157</x:v>
      </x:c>
      <x:c r="AD13" s="200" t="n">
        <x:f>AC16</x:f>
        <x:v>1264.374759105338</x:v>
      </x:c>
      <x:c r="AE13" s="200" t="n">
        <x:f>AD16</x:f>
        <x:v>1417.7973918312969</x:v>
      </x:c>
      <x:c r="AF13" s="200" t="n">
        <x:f>AE16</x:f>
        <x:v>1589.528880786372</x:v>
      </x:c>
      <x:c r="AG13" s="200" t="n">
        <x:f>AF16</x:f>
        <x:v>1781.7724002999366</x:v>
      </x:c>
      <x:c r="AH13" s="200" t="n">
        <x:f>AG16</x:f>
        <x:v>1996.9951389259772</x:v>
      </x:c>
      <x:c r="AI13" s="200" t="n">
        <x:f>AH16</x:f>
        <x:v>2237.96000315174</x:v>
      </x:c>
      <x:c r="AJ13" s="200" t="n">
        <x:f>AI16</x:f>
        <x:v>2507.7611242313155</x:v>
      </x:c>
      <x:c r="AK13" s="200" t="n">
        <x:f>AJ16</x:f>
        <x:v>2809.8636245983585</x:v>
      </x:c>
    </x:row>
    <x:row r="14">
      <x:c r="A14" s="134" t="str">
        <x:v>Monthly individual churn</x:v>
      </x:c>
      <x:c r="B14" s="199" t="n">
        <x:f>'Assumptions'!$F$11</x:f>
        <x:v>0.06</x:v>
      </x:c>
      <x:c r="C14" s="199" t="n">
        <x:f>'Assumptions'!$F$11</x:f>
        <x:v>0.06</x:v>
      </x:c>
      <x:c r="D14" s="199" t="n">
        <x:f>'Assumptions'!$F$11</x:f>
        <x:v>0.06</x:v>
      </x:c>
      <x:c r="E14" s="199" t="n">
        <x:f>'Assumptions'!$F$11</x:f>
        <x:v>0.06</x:v>
      </x:c>
      <x:c r="F14" s="199" t="n">
        <x:f>'Assumptions'!$F$11</x:f>
        <x:v>0.06</x:v>
      </x:c>
      <x:c r="G14" s="199" t="n">
        <x:f>'Assumptions'!$F$11</x:f>
        <x:v>0.06</x:v>
      </x:c>
      <x:c r="H14" s="199" t="n">
        <x:f>'Assumptions'!$F$11</x:f>
        <x:v>0.06</x:v>
      </x:c>
      <x:c r="I14" s="199" t="n">
        <x:f>'Assumptions'!$F$11</x:f>
        <x:v>0.06</x:v>
      </x:c>
      <x:c r="J14" s="199" t="n">
        <x:f>'Assumptions'!$F$11</x:f>
        <x:v>0.06</x:v>
      </x:c>
      <x:c r="K14" s="199" t="n">
        <x:f>'Assumptions'!$F$11</x:f>
        <x:v>0.06</x:v>
      </x:c>
      <x:c r="L14" s="199" t="n">
        <x:f>'Assumptions'!$F$11</x:f>
        <x:v>0.06</x:v>
      </x:c>
      <x:c r="M14" s="199" t="n">
        <x:f>'Assumptions'!$F$11</x:f>
        <x:v>0.06</x:v>
      </x:c>
      <x:c r="N14" s="199" t="n">
        <x:f>'Assumptions'!$F$11</x:f>
        <x:v>0.06</x:v>
      </x:c>
      <x:c r="O14" s="199" t="n">
        <x:f>'Assumptions'!$F$11</x:f>
        <x:v>0.06</x:v>
      </x:c>
      <x:c r="P14" s="199" t="n">
        <x:f>'Assumptions'!$F$11</x:f>
        <x:v>0.06</x:v>
      </x:c>
      <x:c r="Q14" s="199" t="n">
        <x:f>'Assumptions'!$F$11</x:f>
        <x:v>0.06</x:v>
      </x:c>
      <x:c r="R14" s="199" t="n">
        <x:f>'Assumptions'!$F$11</x:f>
        <x:v>0.06</x:v>
      </x:c>
      <x:c r="S14" s="199" t="n">
        <x:f>'Assumptions'!$F$11</x:f>
        <x:v>0.06</x:v>
      </x:c>
      <x:c r="T14" s="199" t="n">
        <x:f>'Assumptions'!$F$11</x:f>
        <x:v>0.06</x:v>
      </x:c>
      <x:c r="U14" s="199" t="n">
        <x:f>'Assumptions'!$F$11</x:f>
        <x:v>0.06</x:v>
      </x:c>
      <x:c r="V14" s="199" t="n">
        <x:f>'Assumptions'!$F$11</x:f>
        <x:v>0.06</x:v>
      </x:c>
      <x:c r="W14" s="199" t="n">
        <x:f>'Assumptions'!$F$11</x:f>
        <x:v>0.06</x:v>
      </x:c>
      <x:c r="X14" s="199" t="n">
        <x:f>'Assumptions'!$F$11</x:f>
        <x:v>0.06</x:v>
      </x:c>
      <x:c r="Y14" s="199" t="n">
        <x:f>'Assumptions'!$F$11</x:f>
        <x:v>0.06</x:v>
      </x:c>
      <x:c r="Z14" s="199" t="n">
        <x:f>'Assumptions'!$F$11</x:f>
        <x:v>0.06</x:v>
      </x:c>
      <x:c r="AA14" s="199" t="n">
        <x:f>'Assumptions'!$F$11</x:f>
        <x:v>0.06</x:v>
      </x:c>
      <x:c r="AB14" s="199" t="n">
        <x:f>'Assumptions'!$F$11</x:f>
        <x:v>0.06</x:v>
      </x:c>
      <x:c r="AC14" s="199" t="n">
        <x:f>'Assumptions'!$F$11</x:f>
        <x:v>0.06</x:v>
      </x:c>
      <x:c r="AD14" s="199" t="n">
        <x:f>'Assumptions'!$F$11</x:f>
        <x:v>0.06</x:v>
      </x:c>
      <x:c r="AE14" s="199" t="n">
        <x:f>'Assumptions'!$F$11</x:f>
        <x:v>0.06</x:v>
      </x:c>
      <x:c r="AF14" s="199" t="n">
        <x:f>'Assumptions'!$F$11</x:f>
        <x:v>0.06</x:v>
      </x:c>
      <x:c r="AG14" s="199" t="n">
        <x:f>'Assumptions'!$F$11</x:f>
        <x:v>0.06</x:v>
      </x:c>
      <x:c r="AH14" s="199" t="n">
        <x:f>'Assumptions'!$F$11</x:f>
        <x:v>0.06</x:v>
      </x:c>
      <x:c r="AI14" s="199" t="n">
        <x:f>'Assumptions'!$F$11</x:f>
        <x:v>0.06</x:v>
      </x:c>
      <x:c r="AJ14" s="199" t="n">
        <x:f>'Assumptions'!$F$11</x:f>
        <x:v>0.06</x:v>
      </x:c>
      <x:c r="AK14" s="199" t="n">
        <x:f>'Assumptions'!$F$11</x:f>
        <x:v>0.06</x:v>
      </x:c>
    </x:row>
    <x:row r="15">
      <x:c r="A15" s="134" t="str">
        <x:v>Churned paid individuals</x:v>
      </x:c>
      <x:c r="B15" s="200" t="n">
        <x:f>B13*B14</x:f>
        <x:v>0</x:v>
      </x:c>
      <x:c r="C15" s="200" t="n">
        <x:f>C13*C14</x:f>
        <x:v>0.576</x:v>
      </x:c>
      <x:c r="D15" s="200" t="n">
        <x:f>D13*D14</x:f>
        <x:v>1.1865599999999998</x:v>
      </x:c>
      <x:c r="E15" s="200" t="n">
        <x:f>E13*E14</x:f>
        <x:v>1.8379008</x:v>
      </x:c>
      <x:c r="F15" s="200" t="n">
        <x:f>F13*F14</x:f>
        <x:v>2.5368652800000002</x:v>
      </x:c>
      <x:c r="G15" s="200" t="n">
        <x:f>G13*G14</x:f>
        <x:v>3.2910005145600003</x:v>
      </x:c>
      <x:c r="H15" s="200" t="n">
        <x:f>H13*H14</x:f>
        <x:v>4.1086492932096</x:v>
      </x:c>
      <x:c r="I15" s="200" t="n">
        <x:f>I13*I14</x:f>
        <x:v>4.99905220228301</x:v>
      </x:c>
      <x:c r="J15" s="200" t="n">
        <x:f>J13*J14</x:f>
        <x:v>5.972461560811932</x:v>
      </x:c>
      <x:c r="K15" s="200" t="n">
        <x:f>K13*K14</x:f>
        <x:v>7.040268656709027</x:v>
      </x:c>
      <x:c r="L15" s="200" t="n">
        <x:f>L13*L14</x:f>
        <x:v>8.215145901597793</x:v>
      </x:c>
      <x:c r="M15" s="200" t="n">
        <x:f>M13*M14</x:f>
        <x:v>9.511205715508193</x:v>
      </x:c>
      <x:c r="N15" s="200" t="n">
        <x:f>N13*N14</x:f>
        <x:v>10.944178168744719</x:v>
      </x:c>
      <x:c r="O15" s="200" t="n">
        <x:f>O13*O14</x:f>
        <x:v>12.531609650327097</x:v>
      </x:c>
      <x:c r="P15" s="200" t="n">
        <x:f>P13*P14</x:f>
        <x:v>14.29308510361938</x:v>
      </x:c>
      <x:c r="Q15" s="200" t="n">
        <x:f>Q13*Q14</x:f>
        <x:v>16.250476673591553</x:v>
      </x:c>
      <x:c r="R15" s="200" t="n">
        <x:f>R13*R14</x:f>
        <x:v>18.42822195050812</x:v>
      </x:c>
      <x:c r="S15" s="200" t="n">
        <x:f>S13*S14</x:f>
        <x:v>20.85363537608954</x:v>
      </x:c>
      <x:c r="T15" s="200" t="n">
        <x:f>T13*T14</x:f>
        <x:v>23.5572568052495</x:v>
      </x:c>
      <x:c r="U15" s="200" t="n">
        <x:f>U13*U14</x:f>
        <x:v>26.573241694866905</x:v>
      </x:c>
      <x:c r="V15" s="200" t="n">
        <x:f>V13*V14</x:f>
        <x:v>29.93979792685915</x:v>
      </x:c>
      <x:c r="W15" s="200" t="n">
        <x:f>W13*W14</x:f>
        <x:v>33.69967487297397</x:v>
      </x:c>
      <x:c r="X15" s="200" t="n">
        <x:f>X13*X14</x:f>
        <x:v>37.90071098092907</x:v>
      </x:c>
      <x:c r="Y15" s="200" t="n">
        <x:f>Y13*Y14</x:f>
        <x:v>42.596446914446894</x:v>
      </x:c>
      <x:c r="Z15" s="200" t="n">
        <x:f>Z13*Z14</x:f>
        <x:v>47.84681212303847</x:v>
      </x:c>
      <x:c r="AA15" s="200" t="n">
        <x:f>AA13*AA14</x:f>
        <x:v>53.718893661929556</x:v>
      </x:c>
      <x:c r="AB15" s="200" t="n">
        <x:f>AB13*AB14</x:f>
        <x:v>60.28779714043999</x:v>
      </x:c>
      <x:c r="AC15" s="200" t="n">
        <x:f>AC13*AC14</x:f>
        <x:v>67.63761086202693</x:v>
      </x:c>
      <x:c r="AD15" s="200" t="n">
        <x:f>AD13*AD14</x:f>
        <x:v>75.86248554632027</x:v>
      </x:c>
      <x:c r="AE15" s="200" t="n">
        <x:f>AE13*AE14</x:f>
        <x:v>85.0678435098778</x:v>
      </x:c>
      <x:c r="AF15" s="200" t="n">
        <x:f>AF13*AF14</x:f>
        <x:v>95.37173284718232</x:v>
      </x:c>
      <x:c r="AG15" s="200" t="n">
        <x:f>AG13*AG14</x:f>
        <x:v>106.90634401799619</x:v>
      </x:c>
      <x:c r="AH15" s="200" t="n">
        <x:f>AH13*AH14</x:f>
        <x:v>119.81970833555863</x:v>
      </x:c>
      <x:c r="AI15" s="200" t="n">
        <x:f>AI13*AI14</x:f>
        <x:v>134.2776001891044</x:v>
      </x:c>
      <x:c r="AJ15" s="200" t="n">
        <x:f>AJ13*AJ14</x:f>
        <x:v>150.46566745387892</x:v>
      </x:c>
      <x:c r="AK15" s="200" t="n">
        <x:f>AK13*AK14</x:f>
        <x:v>168.5918174759015</x:v>
      </x:c>
    </x:row>
    <x:row r="16">
      <x:c r="A16" s="150" t="str">
        <x:v>Ending paid individuals</x:v>
      </x:c>
      <x:c r="B16" s="201" t="n">
        <x:f>B13+B12-B15</x:f>
        <x:v>9.6</x:v>
      </x:c>
      <x:c r="C16" s="201" t="n">
        <x:f>C13+C12-C15</x:f>
        <x:v>19.776</x:v>
      </x:c>
      <x:c r="D16" s="201" t="n">
        <x:f>D13+D12-D15</x:f>
        <x:v>30.63168</x:v>
      </x:c>
      <x:c r="E16" s="201" t="n">
        <x:f>E13+E12-E15</x:f>
        <x:v>42.281088000000004</x:v>
      </x:c>
      <x:c r="F16" s="201" t="n">
        <x:f>F13+F12-F15</x:f>
        <x:v>54.85000857600001</x:v>
      </x:c>
      <x:c r="G16" s="201" t="n">
        <x:f>G13+G12-G15</x:f>
        <x:v>68.47748822016001</x:v>
      </x:c>
      <x:c r="H16" s="201" t="n">
        <x:f>H13+H12-H15</x:f>
        <x:v>83.31753670471683</x:v>
      </x:c>
      <x:c r="I16" s="201" t="n">
        <x:f>I13+I12-I15</x:f>
        <x:v>99.5410260135322</x:v>
      </x:c>
      <x:c r="J16" s="201" t="n">
        <x:f>J13+J12-J15</x:f>
        <x:v>117.33781094515045</x:v>
      </x:c>
      <x:c r="K16" s="201" t="n">
        <x:f>K13+K12-K15</x:f>
        <x:v>136.91909835996324</x:v>
      </x:c>
      <x:c r="L16" s="201" t="n">
        <x:f>L13+L12-L15</x:f>
        <x:v>158.5200952584699</x:v>
      </x:c>
      <x:c r="M16" s="201" t="n">
        <x:f>M13+M12-M15</x:f>
        <x:v>182.40296947907865</x:v>
      </x:c>
      <x:c r="N16" s="201" t="n">
        <x:f>N13+N12-N15</x:f>
        <x:v>208.86016083878496</x:v>
      </x:c>
      <x:c r="O16" s="201" t="n">
        <x:f>O13+O12-O15</x:f>
        <x:v>238.218085060323</x:v>
      </x:c>
      <x:c r="P16" s="201" t="n">
        <x:f>P13+P12-P15</x:f>
        <x:v>270.84127789319257</x:v>
      </x:c>
      <x:c r="Q16" s="201" t="n">
        <x:f>Q13+Q12-Q15</x:f>
        <x:v>307.1370325084687</x:v>
      </x:c>
      <x:c r="R16" s="201" t="n">
        <x:f>R13+R12-R15</x:f>
        <x:v>347.5605896014923</x:v>
      </x:c>
      <x:c r="S16" s="201" t="n">
        <x:f>S13+S12-S15</x:f>
        <x:v>392.62094675415835</x:v>
      </x:c>
      <x:c r="T16" s="201" t="n">
        <x:f>T13+T12-T15</x:f>
        <x:v>442.8873615811151</x:v>
      </x:c>
      <x:c r="U16" s="201" t="n">
        <x:f>U13+U12-U15</x:f>
        <x:v>498.9966321143192</x:v>
      </x:c>
      <x:c r="V16" s="201" t="n">
        <x:f>V13+V12-V15</x:f>
        <x:v>561.6612478828996</x:v>
      </x:c>
      <x:c r="W16" s="201" t="n">
        <x:f>W13+W12-W15</x:f>
        <x:v>631.6785163488179</x:v>
      </x:c>
      <x:c r="X16" s="201" t="n">
        <x:f>X13+X12-X15</x:f>
        <x:v>709.9407819074482</x:v>
      </x:c>
      <x:c r="Y16" s="201" t="n">
        <x:f>Y13+Y12-Y15</x:f>
        <x:v>797.4468687173078</x:v>
      </x:c>
      <x:c r="Z16" s="201" t="n">
        <x:f>Z13+Z12-Z15</x:f>
        <x:v>895.3148943654926</x:v>
      </x:c>
      <x:c r="AA16" s="201" t="n">
        <x:f>AA13+AA12-AA15</x:f>
        <x:v>1004.7966190073332</x:v>
      </x:c>
      <x:c r="AB16" s="201" t="n">
        <x:f>AB13+AB12-AB15</x:f>
        <x:v>1127.2935143671157</x:v>
      </x:c>
      <x:c r="AC16" s="201" t="n">
        <x:f>AC13+AC12-AC15</x:f>
        <x:v>1264.374759105338</x:v>
      </x:c>
      <x:c r="AD16" s="201" t="n">
        <x:f>AD13+AD12-AD15</x:f>
        <x:v>1417.7973918312969</x:v>
      </x:c>
      <x:c r="AE16" s="201" t="n">
        <x:f>AE13+AE12-AE15</x:f>
        <x:v>1589.528880786372</x:v>
      </x:c>
      <x:c r="AF16" s="201" t="n">
        <x:f>AF13+AF12-AF15</x:f>
        <x:v>1781.7724002999366</x:v>
      </x:c>
      <x:c r="AG16" s="201" t="n">
        <x:f>AG13+AG12-AG15</x:f>
        <x:v>1996.9951389259772</x:v>
      </x:c>
      <x:c r="AH16" s="201" t="n">
        <x:f>AH13+AH12-AH15</x:f>
        <x:v>2237.96000315174</x:v>
      </x:c>
      <x:c r="AI16" s="201" t="n">
        <x:f>AI13+AI12-AI15</x:f>
        <x:v>2507.7611242313155</x:v>
      </x:c>
      <x:c r="AJ16" s="201" t="n">
        <x:f>AJ13+AJ12-AJ15</x:f>
        <x:v>2809.8636245983585</x:v>
      </x:c>
      <x:c r="AK16" s="201" t="n">
        <x:f>AK13+AK12-AK15</x:f>
        <x:v>3148.148155081889</x:v>
      </x:c>
    </x:row>
    <x:row r="17">
      <x:c r="A17" s="134"/>
      <x:c r="B17" s="202"/>
      <x:c r="C17" s="202"/>
      <x:c r="D17" s="202"/>
      <x:c r="E17" s="202"/>
      <x:c r="F17" s="202"/>
      <x:c r="G17" s="202"/>
      <x:c r="H17" s="202"/>
      <x:c r="I17" s="202"/>
      <x:c r="J17" s="202"/>
      <x:c r="K17" s="202"/>
      <x:c r="L17" s="202"/>
      <x:c r="M17" s="202"/>
      <x:c r="N17" s="202"/>
      <x:c r="O17" s="202"/>
      <x:c r="P17" s="202"/>
      <x:c r="Q17" s="202"/>
      <x:c r="R17" s="202"/>
      <x:c r="S17" s="202"/>
      <x:c r="T17" s="202"/>
      <x:c r="U17" s="202"/>
      <x:c r="V17" s="202"/>
      <x:c r="W17" s="202"/>
      <x:c r="X17" s="202"/>
      <x:c r="Y17" s="202"/>
      <x:c r="Z17" s="202"/>
      <x:c r="AA17" s="202"/>
      <x:c r="AB17" s="202"/>
      <x:c r="AC17" s="202"/>
      <x:c r="AD17" s="202"/>
      <x:c r="AE17" s="202"/>
      <x:c r="AF17" s="202"/>
      <x:c r="AG17" s="202"/>
      <x:c r="AH17" s="202"/>
      <x:c r="AI17" s="202"/>
      <x:c r="AJ17" s="202"/>
      <x:c r="AK17" s="202"/>
    </x:row>
    <x:row r="18">
      <x:c r="A18" s="108" t="str">
        <x:v>B2B ACQUISITION &amp; RETENTION</x:v>
      </x:c>
      <x:c r="B18" s="176" t="str">
        <x:v>B2B ACQUISITION &amp; RETENTION</x:v>
      </x:c>
      <x:c r="C18" s="176" t="str">
        <x:v>B2B ACQUISITION &amp; RETENTION</x:v>
      </x:c>
      <x:c r="D18" s="176" t="str">
        <x:v>B2B ACQUISITION &amp; RETENTION</x:v>
      </x:c>
      <x:c r="E18" s="176" t="str">
        <x:v>B2B ACQUISITION &amp; RETENTION</x:v>
      </x:c>
      <x:c r="F18" s="176" t="str">
        <x:v>B2B ACQUISITION &amp; RETENTION</x:v>
      </x:c>
      <x:c r="G18" s="176" t="str">
        <x:v>B2B ACQUISITION &amp; RETENTION</x:v>
      </x:c>
      <x:c r="H18" s="176" t="str">
        <x:v>B2B ACQUISITION &amp; RETENTION</x:v>
      </x:c>
      <x:c r="I18" s="176" t="str">
        <x:v>B2B ACQUISITION &amp; RETENTION</x:v>
      </x:c>
      <x:c r="J18" s="176" t="str">
        <x:v>B2B ACQUISITION &amp; RETENTION</x:v>
      </x:c>
      <x:c r="K18" s="176" t="str">
        <x:v>B2B ACQUISITION &amp; RETENTION</x:v>
      </x:c>
      <x:c r="L18" s="176" t="str">
        <x:v>B2B ACQUISITION &amp; RETENTION</x:v>
      </x:c>
      <x:c r="M18" s="176" t="str">
        <x:v>B2B ACQUISITION &amp; RETENTION</x:v>
      </x:c>
      <x:c r="N18" s="176" t="str">
        <x:v>B2B ACQUISITION &amp; RETENTION</x:v>
      </x:c>
      <x:c r="O18" s="176" t="str">
        <x:v>B2B ACQUISITION &amp; RETENTION</x:v>
      </x:c>
      <x:c r="P18" s="176" t="str">
        <x:v>B2B ACQUISITION &amp; RETENTION</x:v>
      </x:c>
      <x:c r="Q18" s="176" t="str">
        <x:v>B2B ACQUISITION &amp; RETENTION</x:v>
      </x:c>
      <x:c r="R18" s="176" t="str">
        <x:v>B2B ACQUISITION &amp; RETENTION</x:v>
      </x:c>
      <x:c r="S18" s="176" t="str">
        <x:v>B2B ACQUISITION &amp; RETENTION</x:v>
      </x:c>
      <x:c r="T18" s="176" t="str">
        <x:v>B2B ACQUISITION &amp; RETENTION</x:v>
      </x:c>
      <x:c r="U18" s="176" t="str">
        <x:v>B2B ACQUISITION &amp; RETENTION</x:v>
      </x:c>
      <x:c r="V18" s="176" t="str">
        <x:v>B2B ACQUISITION &amp; RETENTION</x:v>
      </x:c>
      <x:c r="W18" s="176" t="str">
        <x:v>B2B ACQUISITION &amp; RETENTION</x:v>
      </x:c>
      <x:c r="X18" s="176" t="str">
        <x:v>B2B ACQUISITION &amp; RETENTION</x:v>
      </x:c>
      <x:c r="Y18" s="176" t="str">
        <x:v>B2B ACQUISITION &amp; RETENTION</x:v>
      </x:c>
      <x:c r="Z18" s="176" t="str">
        <x:v>B2B ACQUISITION &amp; RETENTION</x:v>
      </x:c>
      <x:c r="AA18" s="176" t="str">
        <x:v>B2B ACQUISITION &amp; RETENTION</x:v>
      </x:c>
      <x:c r="AB18" s="176" t="str">
        <x:v>B2B ACQUISITION &amp; RETENTION</x:v>
      </x:c>
      <x:c r="AC18" s="176" t="str">
        <x:v>B2B ACQUISITION &amp; RETENTION</x:v>
      </x:c>
      <x:c r="AD18" s="176" t="str">
        <x:v>B2B ACQUISITION &amp; RETENTION</x:v>
      </x:c>
      <x:c r="AE18" s="176" t="str">
        <x:v>B2B ACQUISITION &amp; RETENTION</x:v>
      </x:c>
      <x:c r="AF18" s="176" t="str">
        <x:v>B2B ACQUISITION &amp; RETENTION</x:v>
      </x:c>
      <x:c r="AG18" s="176" t="str">
        <x:v>B2B ACQUISITION &amp; RETENTION</x:v>
      </x:c>
      <x:c r="AH18" s="176" t="str">
        <x:v>B2B ACQUISITION &amp; RETENTION</x:v>
      </x:c>
      <x:c r="AI18" s="176" t="str">
        <x:v>B2B ACQUISITION &amp; RETENTION</x:v>
      </x:c>
      <x:c r="AJ18" s="176" t="str">
        <x:v>B2B ACQUISITION &amp; RETENTION</x:v>
      </x:c>
      <x:c r="AK18" s="176" t="str">
        <x:v>B2B ACQUISITION &amp; RETENTION</x:v>
      </x:c>
    </x:row>
    <x:row r="19">
      <x:c r="A19" s="134" t="str">
        <x:v>B2B leads</x:v>
      </x:c>
      <x:c r="B19" s="198" t="n">
        <x:f>'Assumptions'!$F$12*(1+'Assumptions'!$F$13)^(B$5-1)</x:f>
        <x:v>15</x:v>
      </x:c>
      <x:c r="C19" s="198" t="n">
        <x:f>'Assumptions'!$F$12*(1+'Assumptions'!$F$13)^(C$5-1)</x:f>
        <x:v>16.200000000000003</x:v>
      </x:c>
      <x:c r="D19" s="198" t="n">
        <x:f>'Assumptions'!$F$12*(1+'Assumptions'!$F$13)^(D$5-1)</x:f>
        <x:v>17.496000000000002</x:v>
      </x:c>
      <x:c r="E19" s="198" t="n">
        <x:f>'Assumptions'!$F$12*(1+'Assumptions'!$F$13)^(E$5-1)</x:f>
        <x:v>18.895680000000002</x:v>
      </x:c>
      <x:c r="F19" s="198" t="n">
        <x:f>'Assumptions'!$F$12*(1+'Assumptions'!$F$13)^(F$5-1)</x:f>
        <x:v>20.407334400000003</x:v>
      </x:c>
      <x:c r="G19" s="198" t="n">
        <x:f>'Assumptions'!$F$12*(1+'Assumptions'!$F$13)^(G$5-1)</x:f>
        <x:v>22.03992115200001</x:v>
      </x:c>
      <x:c r="H19" s="198" t="n">
        <x:f>'Assumptions'!$F$12*(1+'Assumptions'!$F$13)^(H$5-1)</x:f>
        <x:v>23.803114844160007</x:v>
      </x:c>
      <x:c r="I19" s="198" t="n">
        <x:f>'Assumptions'!$F$12*(1+'Assumptions'!$F$13)^(I$5-1)</x:f>
        <x:v>25.707364031692812</x:v>
      </x:c>
      <x:c r="J19" s="198" t="n">
        <x:f>'Assumptions'!$F$12*(1+'Assumptions'!$F$13)^(J$5-1)</x:f>
        <x:v>27.76395315422824</x:v>
      </x:c>
      <x:c r="K19" s="198" t="n">
        <x:f>'Assumptions'!$F$12*(1+'Assumptions'!$F$13)^(K$5-1)</x:f>
        <x:v>29.9850694065665</x:v>
      </x:c>
      <x:c r="L19" s="198" t="n">
        <x:f>'Assumptions'!$F$12*(1+'Assumptions'!$F$13)^(L$5-1)</x:f>
        <x:v>32.38387495909182</x:v>
      </x:c>
      <x:c r="M19" s="198" t="n">
        <x:f>'Assumptions'!$F$12*(1+'Assumptions'!$F$13)^(M$5-1)</x:f>
        <x:v>34.97458495581917</x:v>
      </x:c>
      <x:c r="N19" s="198" t="n">
        <x:f>'Assumptions'!$F$12*(1+'Assumptions'!$F$13)^(N$5-1)</x:f>
        <x:v>37.772551752284706</x:v>
      </x:c>
      <x:c r="O19" s="198" t="n">
        <x:f>'Assumptions'!$F$12*(1+'Assumptions'!$F$13)^(O$5-1)</x:f>
        <x:v>40.794355892467486</x:v>
      </x:c>
      <x:c r="P19" s="198" t="n">
        <x:f>'Assumptions'!$F$12*(1+'Assumptions'!$F$13)^(P$5-1)</x:f>
        <x:v>44.057904363864886</x:v>
      </x:c>
      <x:c r="Q19" s="198" t="n">
        <x:f>'Assumptions'!$F$12*(1+'Assumptions'!$F$13)^(Q$5-1)</x:f>
        <x:v>47.58253671297408</x:v>
      </x:c>
      <x:c r="R19" s="198" t="n">
        <x:f>'Assumptions'!$F$12*(1+'Assumptions'!$F$13)^(R$5-1)</x:f>
        <x:v>51.38913965001201</x:v>
      </x:c>
      <x:c r="S19" s="198" t="n">
        <x:f>'Assumptions'!$F$12*(1+'Assumptions'!$F$13)^(S$5-1)</x:f>
        <x:v>55.50027082201298</x:v>
      </x:c>
      <x:c r="T19" s="198" t="n">
        <x:f>'Assumptions'!$F$12*(1+'Assumptions'!$F$13)^(T$5-1)</x:f>
        <x:v>59.940292487774016</x:v>
      </x:c>
      <x:c r="U19" s="198" t="n">
        <x:f>'Assumptions'!$F$12*(1+'Assumptions'!$F$13)^(U$5-1)</x:f>
        <x:v>64.73551588679594</x:v>
      </x:c>
      <x:c r="V19" s="198" t="n">
        <x:f>'Assumptions'!$F$12*(1+'Assumptions'!$F$13)^(V$5-1)</x:f>
        <x:v>69.91435715773963</x:v>
      </x:c>
      <x:c r="W19" s="198" t="n">
        <x:f>'Assumptions'!$F$12*(1+'Assumptions'!$F$13)^(W$5-1)</x:f>
        <x:v>75.5075057303588</x:v>
      </x:c>
      <x:c r="X19" s="198" t="n">
        <x:f>'Assumptions'!$F$12*(1+'Assumptions'!$F$13)^(X$5-1)</x:f>
        <x:v>81.54810618878751</x:v>
      </x:c>
      <x:c r="Y19" s="198" t="n">
        <x:f>'Assumptions'!$F$12*(1+'Assumptions'!$F$13)^(Y$5-1)</x:f>
        <x:v>88.07195468389051</x:v>
      </x:c>
      <x:c r="Z19" s="198" t="n">
        <x:f>'Assumptions'!$F$12*(1+'Assumptions'!$F$13)^(Z$5-1)</x:f>
        <x:v>95.11771105860176</x:v>
      </x:c>
      <x:c r="AA19" s="198" t="n">
        <x:f>'Assumptions'!$F$12*(1+'Assumptions'!$F$13)^(AA$5-1)</x:f>
        <x:v>102.72712794328991</x:v>
      </x:c>
      <x:c r="AB19" s="198" t="n">
        <x:f>'Assumptions'!$F$12*(1+'Assumptions'!$F$13)^(AB$5-1)</x:f>
        <x:v>110.9452981787531</x:v>
      </x:c>
      <x:c r="AC19" s="198" t="n">
        <x:f>'Assumptions'!$F$12*(1+'Assumptions'!$F$13)^(AC$5-1)</x:f>
        <x:v>119.82092203305336</x:v>
      </x:c>
      <x:c r="AD19" s="198" t="n">
        <x:f>'Assumptions'!$F$12*(1+'Assumptions'!$F$13)^(AD$5-1)</x:f>
        <x:v>129.40659579569765</x:v>
      </x:c>
      <x:c r="AE19" s="198" t="n">
        <x:f>'Assumptions'!$F$12*(1+'Assumptions'!$F$13)^(AE$5-1)</x:f>
        <x:v>139.75912345935348</x:v>
      </x:c>
      <x:c r="AF19" s="198" t="n">
        <x:f>'Assumptions'!$F$12*(1+'Assumptions'!$F$13)^(AF$5-1)</x:f>
        <x:v>150.93985333610175</x:v>
      </x:c>
      <x:c r="AG19" s="198" t="n">
        <x:f>'Assumptions'!$F$12*(1+'Assumptions'!$F$13)^(AG$5-1)</x:f>
        <x:v>163.0150416029899</x:v>
      </x:c>
      <x:c r="AH19" s="198" t="n">
        <x:f>'Assumptions'!$F$12*(1+'Assumptions'!$F$13)^(AH$5-1)</x:f>
        <x:v>176.0562449312291</x:v>
      </x:c>
      <x:c r="AI19" s="198" t="n">
        <x:f>'Assumptions'!$F$12*(1+'Assumptions'!$F$13)^(AI$5-1)</x:f>
        <x:v>190.14074452572746</x:v>
      </x:c>
      <x:c r="AJ19" s="198" t="n">
        <x:f>'Assumptions'!$F$12*(1+'Assumptions'!$F$13)^(AJ$5-1)</x:f>
        <x:v>205.35200408778567</x:v>
      </x:c>
      <x:c r="AK19" s="198" t="n">
        <x:f>'Assumptions'!$F$12*(1+'Assumptions'!$F$13)^(AK$5-1)</x:f>
        <x:v>221.78016441480852</x:v>
      </x:c>
    </x:row>
    <x:row r="20">
      <x:c r="A20" s="134" t="str">
        <x:v>B2B close rate</x:v>
      </x:c>
      <x:c r="B20" s="199" t="n">
        <x:f>'Assumptions'!$F$14</x:f>
        <x:v>0.08</x:v>
      </x:c>
      <x:c r="C20" s="199" t="n">
        <x:f>'Assumptions'!$F$14</x:f>
        <x:v>0.08</x:v>
      </x:c>
      <x:c r="D20" s="199" t="n">
        <x:f>'Assumptions'!$F$14</x:f>
        <x:v>0.08</x:v>
      </x:c>
      <x:c r="E20" s="199" t="n">
        <x:f>'Assumptions'!$F$14</x:f>
        <x:v>0.08</x:v>
      </x:c>
      <x:c r="F20" s="199" t="n">
        <x:f>'Assumptions'!$F$14</x:f>
        <x:v>0.08</x:v>
      </x:c>
      <x:c r="G20" s="199" t="n">
        <x:f>'Assumptions'!$F$14</x:f>
        <x:v>0.08</x:v>
      </x:c>
      <x:c r="H20" s="199" t="n">
        <x:f>'Assumptions'!$F$14</x:f>
        <x:v>0.08</x:v>
      </x:c>
      <x:c r="I20" s="199" t="n">
        <x:f>'Assumptions'!$F$14</x:f>
        <x:v>0.08</x:v>
      </x:c>
      <x:c r="J20" s="199" t="n">
        <x:f>'Assumptions'!$F$14</x:f>
        <x:v>0.08</x:v>
      </x:c>
      <x:c r="K20" s="199" t="n">
        <x:f>'Assumptions'!$F$14</x:f>
        <x:v>0.08</x:v>
      </x:c>
      <x:c r="L20" s="199" t="n">
        <x:f>'Assumptions'!$F$14</x:f>
        <x:v>0.08</x:v>
      </x:c>
      <x:c r="M20" s="199" t="n">
        <x:f>'Assumptions'!$F$14</x:f>
        <x:v>0.08</x:v>
      </x:c>
      <x:c r="N20" s="199" t="n">
        <x:f>'Assumptions'!$F$14</x:f>
        <x:v>0.08</x:v>
      </x:c>
      <x:c r="O20" s="199" t="n">
        <x:f>'Assumptions'!$F$14</x:f>
        <x:v>0.08</x:v>
      </x:c>
      <x:c r="P20" s="199" t="n">
        <x:f>'Assumptions'!$F$14</x:f>
        <x:v>0.08</x:v>
      </x:c>
      <x:c r="Q20" s="199" t="n">
        <x:f>'Assumptions'!$F$14</x:f>
        <x:v>0.08</x:v>
      </x:c>
      <x:c r="R20" s="199" t="n">
        <x:f>'Assumptions'!$F$14</x:f>
        <x:v>0.08</x:v>
      </x:c>
      <x:c r="S20" s="199" t="n">
        <x:f>'Assumptions'!$F$14</x:f>
        <x:v>0.08</x:v>
      </x:c>
      <x:c r="T20" s="199" t="n">
        <x:f>'Assumptions'!$F$14</x:f>
        <x:v>0.08</x:v>
      </x:c>
      <x:c r="U20" s="199" t="n">
        <x:f>'Assumptions'!$F$14</x:f>
        <x:v>0.08</x:v>
      </x:c>
      <x:c r="V20" s="199" t="n">
        <x:f>'Assumptions'!$F$14</x:f>
        <x:v>0.08</x:v>
      </x:c>
      <x:c r="W20" s="199" t="n">
        <x:f>'Assumptions'!$F$14</x:f>
        <x:v>0.08</x:v>
      </x:c>
      <x:c r="X20" s="199" t="n">
        <x:f>'Assumptions'!$F$14</x:f>
        <x:v>0.08</x:v>
      </x:c>
      <x:c r="Y20" s="199" t="n">
        <x:f>'Assumptions'!$F$14</x:f>
        <x:v>0.08</x:v>
      </x:c>
      <x:c r="Z20" s="199" t="n">
        <x:f>'Assumptions'!$F$14</x:f>
        <x:v>0.08</x:v>
      </x:c>
      <x:c r="AA20" s="199" t="n">
        <x:f>'Assumptions'!$F$14</x:f>
        <x:v>0.08</x:v>
      </x:c>
      <x:c r="AB20" s="199" t="n">
        <x:f>'Assumptions'!$F$14</x:f>
        <x:v>0.08</x:v>
      </x:c>
      <x:c r="AC20" s="199" t="n">
        <x:f>'Assumptions'!$F$14</x:f>
        <x:v>0.08</x:v>
      </x:c>
      <x:c r="AD20" s="199" t="n">
        <x:f>'Assumptions'!$F$14</x:f>
        <x:v>0.08</x:v>
      </x:c>
      <x:c r="AE20" s="199" t="n">
        <x:f>'Assumptions'!$F$14</x:f>
        <x:v>0.08</x:v>
      </x:c>
      <x:c r="AF20" s="199" t="n">
        <x:f>'Assumptions'!$F$14</x:f>
        <x:v>0.08</x:v>
      </x:c>
      <x:c r="AG20" s="199" t="n">
        <x:f>'Assumptions'!$F$14</x:f>
        <x:v>0.08</x:v>
      </x:c>
      <x:c r="AH20" s="199" t="n">
        <x:f>'Assumptions'!$F$14</x:f>
        <x:v>0.08</x:v>
      </x:c>
      <x:c r="AI20" s="199" t="n">
        <x:f>'Assumptions'!$F$14</x:f>
        <x:v>0.08</x:v>
      </x:c>
      <x:c r="AJ20" s="199" t="n">
        <x:f>'Assumptions'!$F$14</x:f>
        <x:v>0.08</x:v>
      </x:c>
      <x:c r="AK20" s="199" t="n">
        <x:f>'Assumptions'!$F$14</x:f>
        <x:v>0.08</x:v>
      </x:c>
    </x:row>
    <x:row r="21">
      <x:c r="A21" s="134" t="str">
        <x:v>New B2B programs</x:v>
      </x:c>
      <x:c r="B21" s="200" t="n">
        <x:f>B19*B20</x:f>
        <x:v>1.2</x:v>
      </x:c>
      <x:c r="C21" s="200" t="n">
        <x:f>C19*C20</x:f>
        <x:v>1.2960000000000003</x:v>
      </x:c>
      <x:c r="D21" s="200" t="n">
        <x:f>D19*D20</x:f>
        <x:v>1.3996800000000003</x:v>
      </x:c>
      <x:c r="E21" s="200" t="n">
        <x:f>E19*E20</x:f>
        <x:v>1.5116544000000003</x:v>
      </x:c>
      <x:c r="F21" s="200" t="n">
        <x:f>F19*F20</x:f>
        <x:v>1.6325867520000004</x:v>
      </x:c>
      <x:c r="G21" s="200" t="n">
        <x:f>G19*G20</x:f>
        <x:v>1.7631936921600007</x:v>
      </x:c>
      <x:c r="H21" s="200" t="n">
        <x:f>H19*H20</x:f>
        <x:v>1.9042491875328005</x:v>
      </x:c>
      <x:c r="I21" s="200" t="n">
        <x:f>I19*I20</x:f>
        <x:v>2.056589122535425</x:v>
      </x:c>
      <x:c r="J21" s="200" t="n">
        <x:f>J19*J20</x:f>
        <x:v>2.221116252338259</x:v>
      </x:c>
      <x:c r="K21" s="200" t="n">
        <x:f>K19*K20</x:f>
        <x:v>2.39880555252532</x:v>
      </x:c>
      <x:c r="L21" s="200" t="n">
        <x:f>L19*L20</x:f>
        <x:v>2.5907099967273455</x:v>
      </x:c>
      <x:c r="M21" s="200" t="n">
        <x:f>M19*M20</x:f>
        <x:v>2.7979667964655337</x:v>
      </x:c>
      <x:c r="N21" s="200" t="n">
        <x:f>N19*N20</x:f>
        <x:v>3.0218041401827764</x:v>
      </x:c>
      <x:c r="O21" s="200" t="n">
        <x:f>O19*O20</x:f>
        <x:v>3.263548471397399</x:v>
      </x:c>
      <x:c r="P21" s="200" t="n">
        <x:f>P19*P20</x:f>
        <x:v>3.524632349109191</x:v>
      </x:c>
      <x:c r="Q21" s="200" t="n">
        <x:f>Q19*Q20</x:f>
        <x:v>3.8066029370379266</x:v>
      </x:c>
      <x:c r="R21" s="200" t="n">
        <x:f>R19*R20</x:f>
        <x:v>4.111131172000961</x:v>
      </x:c>
      <x:c r="S21" s="200" t="n">
        <x:f>S19*S20</x:f>
        <x:v>4.440021665761038</x:v>
      </x:c>
      <x:c r="T21" s="200" t="n">
        <x:f>T19*T20</x:f>
        <x:v>4.795223399021921</x:v>
      </x:c>
      <x:c r="U21" s="200" t="n">
        <x:f>U19*U20</x:f>
        <x:v>5.178841270943675</x:v>
      </x:c>
      <x:c r="V21" s="200" t="n">
        <x:f>V19*V20</x:f>
        <x:v>5.59314857261917</x:v>
      </x:c>
      <x:c r="W21" s="200" t="n">
        <x:f>W19*W20</x:f>
        <x:v>6.040600458428704</x:v>
      </x:c>
      <x:c r="X21" s="200" t="n">
        <x:f>X19*X20</x:f>
        <x:v>6.523848495103001</x:v>
      </x:c>
      <x:c r="Y21" s="200" t="n">
        <x:f>Y19*Y20</x:f>
        <x:v>7.045756374711241</x:v>
      </x:c>
      <x:c r="Z21" s="200" t="n">
        <x:f>Z19*Z20</x:f>
        <x:v>7.609416884688141</x:v>
      </x:c>
      <x:c r="AA21" s="200" t="n">
        <x:f>AA19*AA20</x:f>
        <x:v>8.218170235463193</x:v>
      </x:c>
      <x:c r="AB21" s="200" t="n">
        <x:f>AB19*AB20</x:f>
        <x:v>8.87562385430025</x:v>
      </x:c>
      <x:c r="AC21" s="200" t="n">
        <x:f>AC19*AC20</x:f>
        <x:v>9.58567376264427</x:v>
      </x:c>
      <x:c r="AD21" s="200" t="n">
        <x:f>AD19*AD20</x:f>
        <x:v>10.352527663655813</x:v>
      </x:c>
      <x:c r="AE21" s="200" t="n">
        <x:f>AE19*AE20</x:f>
        <x:v>11.180729876748279</x:v>
      </x:c>
      <x:c r="AF21" s="200" t="n">
        <x:f>AF19*AF20</x:f>
        <x:v>12.07518826688814</x:v>
      </x:c>
      <x:c r="AG21" s="200" t="n">
        <x:f>AG19*AG20</x:f>
        <x:v>13.041203328239192</x:v>
      </x:c>
      <x:c r="AH21" s="200" t="n">
        <x:f>AH19*AH20</x:f>
        <x:v>14.084499594498327</x:v>
      </x:c>
      <x:c r="AI21" s="200" t="n">
        <x:f>AI19*AI20</x:f>
        <x:v>15.211259562058197</x:v>
      </x:c>
      <x:c r="AJ21" s="200" t="n">
        <x:f>AJ19*AJ20</x:f>
        <x:v>16.428160327022855</x:v>
      </x:c>
      <x:c r="AK21" s="200" t="n">
        <x:f>AK19*AK20</x:f>
        <x:v>17.742413153184682</x:v>
      </x:c>
    </x:row>
    <x:row r="22">
      <x:c r="A22" s="134" t="str">
        <x:v>Beginning B2B programs</x:v>
      </x:c>
      <x:c r="B22" s="200" t="n">
        <x:f>0</x:f>
        <x:v>0</x:v>
      </x:c>
      <x:c r="C22" s="200" t="n">
        <x:f>B25</x:f>
        <x:v>1.2</x:v>
      </x:c>
      <x:c r="D22" s="200" t="n">
        <x:f>C25</x:f>
        <x:v>2.4600000000000004</x:v>
      </x:c>
      <x:c r="E22" s="200" t="n">
        <x:f>D25</x:f>
        <x:v>3.785880000000001</x:v>
      </x:c>
      <x:c r="F22" s="200" t="n">
        <x:f>E25</x:f>
        <x:v>5.183958000000001</x:v>
      </x:c>
      <x:c r="G22" s="200" t="n">
        <x:f>F25</x:f>
        <x:v>6.661026012000002</x:v>
      </x:c>
      <x:c r="H22" s="200" t="n">
        <x:f>G25</x:f>
        <x:v>8.224388923800003</x:v>
      </x:c>
      <x:c r="I22" s="200" t="n">
        <x:f>H25</x:f>
        <x:v>9.881906443618803</x:v>
      </x:c>
      <x:c r="J22" s="200" t="n">
        <x:f>I25</x:f>
        <x:v>11.642038372845663</x:v>
      </x:c>
      <x:c r="K22" s="200" t="n">
        <x:f>J25</x:f>
        <x:v>13.513893473998552</x:v>
      </x:c>
      <x:c r="L22" s="200" t="n">
        <x:f>K25</x:f>
        <x:v>15.507282222303914</x:v>
      </x:c>
      <x:c r="M22" s="200" t="n">
        <x:f>L25</x:f>
        <x:v>17.63277375236214</x:v>
      </x:c>
      <x:c r="N22" s="200" t="n">
        <x:f>M25</x:f>
        <x:v>19.90175733625681</x:v>
      </x:c>
      <x:c r="O22" s="200" t="n">
        <x:f>N25</x:f>
        <x:v>22.326508756351885</x:v>
      </x:c>
      <x:c r="P22" s="200" t="n">
        <x:f>O25</x:f>
        <x:v>24.920261965058728</x:v>
      </x:c>
      <x:c r="Q22" s="200" t="n">
        <x:f>P25</x:f>
        <x:v>27.697286455216155</x:v>
      </x:c>
      <x:c r="R22" s="200" t="n">
        <x:f>Q25</x:f>
        <x:v>30.672970798597596</x:v>
      </x:c>
      <x:c r="S22" s="200" t="n">
        <x:f>R25</x:f>
        <x:v>33.86391284664063</x:v>
      </x:c>
      <x:c r="T22" s="200" t="n">
        <x:f>S25</x:f>
        <x:v>37.28801712700245</x:v>
      </x:c>
      <x:c r="U22" s="200" t="n">
        <x:f>T25</x:f>
        <x:v>40.9646000122143</x:v>
      </x:c>
      <x:c r="V22" s="200" t="n">
        <x:f>U25</x:f>
        <x:v>44.91450328279154</x:v>
      </x:c>
      <x:c r="W22" s="200" t="n">
        <x:f>V25</x:f>
        <x:v>49.16021675692697</x:v>
      </x:c>
      <x:c r="X22" s="200" t="n">
        <x:f>W25</x:f>
        <x:v>53.72601071264787</x:v>
      </x:c>
      <x:c r="Y22" s="200" t="n">
        <x:f>X25</x:f>
        <x:v>58.63807888637144</x:v>
      </x:c>
      <x:c r="Z22" s="200" t="n">
        <x:f>Y25</x:f>
        <x:v>63.924692894491535</x:v>
      </x:c>
      <x:c r="AA22" s="200" t="n">
        <x:f>Z25</x:f>
        <x:v>69.61636899234493</x:v>
      </x:c>
      <x:c r="AB22" s="200" t="n">
        <x:f>AA25</x:f>
        <x:v>75.74604815803778</x:v>
      </x:c>
      <x:c r="AC22" s="200" t="n">
        <x:f>AB25</x:f>
        <x:v>82.3492905675969</x:v>
      </x:c>
      <x:c r="AD22" s="200" t="n">
        <x:f>AC25</x:f>
        <x:v>89.46448561321327</x:v>
      </x:c>
      <x:c r="AE22" s="200" t="n">
        <x:f>AD25</x:f>
        <x:v>97.1330787084727</x:v>
      </x:c>
      <x:c r="AF22" s="200" t="n">
        <x:f>AE25</x:f>
        <x:v>105.39981622396678</x:v>
      </x:c>
      <x:c r="AG22" s="200" t="n">
        <x:f>AF25</x:f>
        <x:v>114.31301000413592</x:v>
      </x:c>
      <x:c r="AH22" s="200" t="n">
        <x:f>AG25</x:f>
        <x:v>123.92482303225103</x:v>
      </x:c>
      <x:c r="AI22" s="200" t="n">
        <x:f>AH25</x:f>
        <x:v>134.29157793578185</x:v>
      </x:c>
      <x:c r="AJ22" s="200" t="n">
        <x:f>AI25</x:f>
        <x:v>145.47409015976658</x:v>
      </x:c>
      <x:c r="AK22" s="200" t="n">
        <x:f>AJ25</x:f>
        <x:v>157.53802778199642</x:v>
      </x:c>
    </x:row>
    <x:row r="23">
      <x:c r="A23" s="134" t="str">
        <x:v>Monthly B2B churn</x:v>
      </x:c>
      <x:c r="B23" s="199" t="n">
        <x:f>'Assumptions'!$F$15</x:f>
        <x:v>0.03</x:v>
      </x:c>
      <x:c r="C23" s="199" t="n">
        <x:f>'Assumptions'!$F$15</x:f>
        <x:v>0.03</x:v>
      </x:c>
      <x:c r="D23" s="199" t="n">
        <x:f>'Assumptions'!$F$15</x:f>
        <x:v>0.03</x:v>
      </x:c>
      <x:c r="E23" s="199" t="n">
        <x:f>'Assumptions'!$F$15</x:f>
        <x:v>0.03</x:v>
      </x:c>
      <x:c r="F23" s="199" t="n">
        <x:f>'Assumptions'!$F$15</x:f>
        <x:v>0.03</x:v>
      </x:c>
      <x:c r="G23" s="199" t="n">
        <x:f>'Assumptions'!$F$15</x:f>
        <x:v>0.03</x:v>
      </x:c>
      <x:c r="H23" s="199" t="n">
        <x:f>'Assumptions'!$F$15</x:f>
        <x:v>0.03</x:v>
      </x:c>
      <x:c r="I23" s="199" t="n">
        <x:f>'Assumptions'!$F$15</x:f>
        <x:v>0.03</x:v>
      </x:c>
      <x:c r="J23" s="199" t="n">
        <x:f>'Assumptions'!$F$15</x:f>
        <x:v>0.03</x:v>
      </x:c>
      <x:c r="K23" s="199" t="n">
        <x:f>'Assumptions'!$F$15</x:f>
        <x:v>0.03</x:v>
      </x:c>
      <x:c r="L23" s="199" t="n">
        <x:f>'Assumptions'!$F$15</x:f>
        <x:v>0.03</x:v>
      </x:c>
      <x:c r="M23" s="199" t="n">
        <x:f>'Assumptions'!$F$15</x:f>
        <x:v>0.03</x:v>
      </x:c>
      <x:c r="N23" s="199" t="n">
        <x:f>'Assumptions'!$F$15</x:f>
        <x:v>0.03</x:v>
      </x:c>
      <x:c r="O23" s="199" t="n">
        <x:f>'Assumptions'!$F$15</x:f>
        <x:v>0.03</x:v>
      </x:c>
      <x:c r="P23" s="199" t="n">
        <x:f>'Assumptions'!$F$15</x:f>
        <x:v>0.03</x:v>
      </x:c>
      <x:c r="Q23" s="199" t="n">
        <x:f>'Assumptions'!$F$15</x:f>
        <x:v>0.03</x:v>
      </x:c>
      <x:c r="R23" s="199" t="n">
        <x:f>'Assumptions'!$F$15</x:f>
        <x:v>0.03</x:v>
      </x:c>
      <x:c r="S23" s="199" t="n">
        <x:f>'Assumptions'!$F$15</x:f>
        <x:v>0.03</x:v>
      </x:c>
      <x:c r="T23" s="199" t="n">
        <x:f>'Assumptions'!$F$15</x:f>
        <x:v>0.03</x:v>
      </x:c>
      <x:c r="U23" s="199" t="n">
        <x:f>'Assumptions'!$F$15</x:f>
        <x:v>0.03</x:v>
      </x:c>
      <x:c r="V23" s="199" t="n">
        <x:f>'Assumptions'!$F$15</x:f>
        <x:v>0.03</x:v>
      </x:c>
      <x:c r="W23" s="199" t="n">
        <x:f>'Assumptions'!$F$15</x:f>
        <x:v>0.03</x:v>
      </x:c>
      <x:c r="X23" s="199" t="n">
        <x:f>'Assumptions'!$F$15</x:f>
        <x:v>0.03</x:v>
      </x:c>
      <x:c r="Y23" s="199" t="n">
        <x:f>'Assumptions'!$F$15</x:f>
        <x:v>0.03</x:v>
      </x:c>
      <x:c r="Z23" s="199" t="n">
        <x:f>'Assumptions'!$F$15</x:f>
        <x:v>0.03</x:v>
      </x:c>
      <x:c r="AA23" s="199" t="n">
        <x:f>'Assumptions'!$F$15</x:f>
        <x:v>0.03</x:v>
      </x:c>
      <x:c r="AB23" s="199" t="n">
        <x:f>'Assumptions'!$F$15</x:f>
        <x:v>0.03</x:v>
      </x:c>
      <x:c r="AC23" s="199" t="n">
        <x:f>'Assumptions'!$F$15</x:f>
        <x:v>0.03</x:v>
      </x:c>
      <x:c r="AD23" s="199" t="n">
        <x:f>'Assumptions'!$F$15</x:f>
        <x:v>0.03</x:v>
      </x:c>
      <x:c r="AE23" s="199" t="n">
        <x:f>'Assumptions'!$F$15</x:f>
        <x:v>0.03</x:v>
      </x:c>
      <x:c r="AF23" s="199" t="n">
        <x:f>'Assumptions'!$F$15</x:f>
        <x:v>0.03</x:v>
      </x:c>
      <x:c r="AG23" s="199" t="n">
        <x:f>'Assumptions'!$F$15</x:f>
        <x:v>0.03</x:v>
      </x:c>
      <x:c r="AH23" s="199" t="n">
        <x:f>'Assumptions'!$F$15</x:f>
        <x:v>0.03</x:v>
      </x:c>
      <x:c r="AI23" s="199" t="n">
        <x:f>'Assumptions'!$F$15</x:f>
        <x:v>0.03</x:v>
      </x:c>
      <x:c r="AJ23" s="199" t="n">
        <x:f>'Assumptions'!$F$15</x:f>
        <x:v>0.03</x:v>
      </x:c>
      <x:c r="AK23" s="199" t="n">
        <x:f>'Assumptions'!$F$15</x:f>
        <x:v>0.03</x:v>
      </x:c>
    </x:row>
    <x:row r="24">
      <x:c r="A24" s="134" t="str">
        <x:v>Churned B2B programs</x:v>
      </x:c>
      <x:c r="B24" s="200" t="n">
        <x:f>B22*B23</x:f>
        <x:v>0</x:v>
      </x:c>
      <x:c r="C24" s="200" t="n">
        <x:f>C22*C23</x:f>
        <x:v>0.036</x:v>
      </x:c>
      <x:c r="D24" s="200" t="n">
        <x:f>D22*D23</x:f>
        <x:v>0.0738</x:v>
      </x:c>
      <x:c r="E24" s="200" t="n">
        <x:f>E22*E23</x:f>
        <x:v>0.11357640000000002</x:v>
      </x:c>
      <x:c r="F24" s="200" t="n">
        <x:f>F22*F23</x:f>
        <x:v>0.15551874000000004</x:v>
      </x:c>
      <x:c r="G24" s="200" t="n">
        <x:f>G22*G23</x:f>
        <x:v>0.19983078036000007</x:v>
      </x:c>
      <x:c r="H24" s="200" t="n">
        <x:f>H22*H23</x:f>
        <x:v>0.24673166771400007</x:v>
      </x:c>
      <x:c r="I24" s="200" t="n">
        <x:f>I22*I23</x:f>
        <x:v>0.29645719330856407</x:v>
      </x:c>
      <x:c r="J24" s="200" t="n">
        <x:f>J22*J23</x:f>
        <x:v>0.3492611511853699</x:v>
      </x:c>
      <x:c r="K24" s="200" t="n">
        <x:f>K22*K23</x:f>
        <x:v>0.4054168042199565</x:v>
      </x:c>
      <x:c r="L24" s="200" t="n">
        <x:f>L22*L23</x:f>
        <x:v>0.4652184666691174</x:v>
      </x:c>
      <x:c r="M24" s="200" t="n">
        <x:f>M22*M23</x:f>
        <x:v>0.5289832125708642</x:v>
      </x:c>
      <x:c r="N24" s="200" t="n">
        <x:f>N22*N23</x:f>
        <x:v>0.5970527200877043</x:v>
      </x:c>
      <x:c r="O24" s="200" t="n">
        <x:f>O22*O23</x:f>
        <x:v>0.6697952626905566</x:v>
      </x:c>
      <x:c r="P24" s="200" t="n">
        <x:f>P22*P23</x:f>
        <x:v>0.7476078589517619</x:v>
      </x:c>
      <x:c r="Q24" s="200" t="n">
        <x:f>Q22*Q23</x:f>
        <x:v>0.8309185936564846</x:v>
      </x:c>
      <x:c r="R24" s="200" t="n">
        <x:f>R22*R23</x:f>
        <x:v>0.9201891239579278</x:v>
      </x:c>
      <x:c r="S24" s="200" t="n">
        <x:f>S22*S23</x:f>
        <x:v>1.015917385399219</x:v>
      </x:c>
      <x:c r="T24" s="200" t="n">
        <x:f>T22*T23</x:f>
        <x:v>1.1186405138100735</x:v>
      </x:c>
      <x:c r="U24" s="200" t="n">
        <x:f>U22*U23</x:f>
        <x:v>1.228938000366429</x:v>
      </x:c>
      <x:c r="V24" s="200" t="n">
        <x:f>V22*V23</x:f>
        <x:v>1.3474350984837462</x:v>
      </x:c>
      <x:c r="W24" s="200" t="n">
        <x:f>W22*W23</x:f>
        <x:v>1.474806502707809</x:v>
      </x:c>
      <x:c r="X24" s="200" t="n">
        <x:f>X22*X23</x:f>
        <x:v>1.611780321379436</x:v>
      </x:c>
      <x:c r="Y24" s="200" t="n">
        <x:f>Y22*Y23</x:f>
        <x:v>1.7591423665911432</x:v>
      </x:c>
      <x:c r="Z24" s="200" t="n">
        <x:f>Z22*Z23</x:f>
        <x:v>1.917740786834746</x:v>
      </x:c>
      <x:c r="AA24" s="200" t="n">
        <x:f>AA22*AA23</x:f>
        <x:v>2.088491069770348</x:v>
      </x:c>
      <x:c r="AB24" s="200" t="n">
        <x:f>AB22*AB23</x:f>
        <x:v>2.2723814447411335</x:v>
      </x:c>
      <x:c r="AC24" s="200" t="n">
        <x:f>AC22*AC23</x:f>
        <x:v>2.470478717027907</x:v>
      </x:c>
      <x:c r="AD24" s="200" t="n">
        <x:f>AD22*AD23</x:f>
        <x:v>2.683934568396398</x:v>
      </x:c>
      <x:c r="AE24" s="200" t="n">
        <x:f>AE22*AE23</x:f>
        <x:v>2.9139923612541807</x:v>
      </x:c>
      <x:c r="AF24" s="200" t="n">
        <x:f>AF22*AF23</x:f>
        <x:v>3.1619944867190033</x:v>
      </x:c>
      <x:c r="AG24" s="200" t="n">
        <x:f>AG22*AG23</x:f>
        <x:v>3.4293903001240773</x:v>
      </x:c>
      <x:c r="AH24" s="200" t="n">
        <x:f>AH22*AH23</x:f>
        <x:v>3.7177446909675305</x:v>
      </x:c>
      <x:c r="AI24" s="200" t="n">
        <x:f>AI22*AI23</x:f>
        <x:v>4.0287473380734555</x:v>
      </x:c>
      <x:c r="AJ24" s="200" t="n">
        <x:f>AJ22*AJ23</x:f>
        <x:v>4.364222704792997</x:v>
      </x:c>
      <x:c r="AK24" s="200" t="n">
        <x:f>AK22*AK23</x:f>
        <x:v>4.726140833459892</x:v>
      </x:c>
    </x:row>
    <x:row r="25">
      <x:c r="A25" s="150" t="str">
        <x:v>Ending B2B programs</x:v>
      </x:c>
      <x:c r="B25" s="201" t="n">
        <x:f>B22+B21-B24</x:f>
        <x:v>1.2</x:v>
      </x:c>
      <x:c r="C25" s="201" t="n">
        <x:f>C22+C21-C24</x:f>
        <x:v>2.4600000000000004</x:v>
      </x:c>
      <x:c r="D25" s="201" t="n">
        <x:f>D22+D21-D24</x:f>
        <x:v>3.785880000000001</x:v>
      </x:c>
      <x:c r="E25" s="201" t="n">
        <x:f>E22+E21-E24</x:f>
        <x:v>5.183958000000001</x:v>
      </x:c>
      <x:c r="F25" s="201" t="n">
        <x:f>F22+F21-F24</x:f>
        <x:v>6.661026012000002</x:v>
      </x:c>
      <x:c r="G25" s="201" t="n">
        <x:f>G22+G21-G24</x:f>
        <x:v>8.224388923800003</x:v>
      </x:c>
      <x:c r="H25" s="201" t="n">
        <x:f>H22+H21-H24</x:f>
        <x:v>9.881906443618803</x:v>
      </x:c>
      <x:c r="I25" s="201" t="n">
        <x:f>I22+I21-I24</x:f>
        <x:v>11.642038372845663</x:v>
      </x:c>
      <x:c r="J25" s="201" t="n">
        <x:f>J22+J21-J24</x:f>
        <x:v>13.513893473998552</x:v>
      </x:c>
      <x:c r="K25" s="201" t="n">
        <x:f>K22+K21-K24</x:f>
        <x:v>15.507282222303914</x:v>
      </x:c>
      <x:c r="L25" s="201" t="n">
        <x:f>L22+L21-L24</x:f>
        <x:v>17.63277375236214</x:v>
      </x:c>
      <x:c r="M25" s="201" t="n">
        <x:f>M22+M21-M24</x:f>
        <x:v>19.90175733625681</x:v>
      </x:c>
      <x:c r="N25" s="201" t="n">
        <x:f>N22+N21-N24</x:f>
        <x:v>22.326508756351885</x:v>
      </x:c>
      <x:c r="O25" s="201" t="n">
        <x:f>O22+O21-O24</x:f>
        <x:v>24.920261965058728</x:v>
      </x:c>
      <x:c r="P25" s="201" t="n">
        <x:f>P22+P21-P24</x:f>
        <x:v>27.697286455216155</x:v>
      </x:c>
      <x:c r="Q25" s="201" t="n">
        <x:f>Q22+Q21-Q24</x:f>
        <x:v>30.672970798597596</x:v>
      </x:c>
      <x:c r="R25" s="201" t="n">
        <x:f>R22+R21-R24</x:f>
        <x:v>33.86391284664063</x:v>
      </x:c>
      <x:c r="S25" s="201" t="n">
        <x:f>S22+S21-S24</x:f>
        <x:v>37.28801712700245</x:v>
      </x:c>
      <x:c r="T25" s="201" t="n">
        <x:f>T22+T21-T24</x:f>
        <x:v>40.9646000122143</x:v>
      </x:c>
      <x:c r="U25" s="201" t="n">
        <x:f>U22+U21-U24</x:f>
        <x:v>44.91450328279154</x:v>
      </x:c>
      <x:c r="V25" s="201" t="n">
        <x:f>V22+V21-V24</x:f>
        <x:v>49.16021675692697</x:v>
      </x:c>
      <x:c r="W25" s="201" t="n">
        <x:f>W22+W21-W24</x:f>
        <x:v>53.72601071264787</x:v>
      </x:c>
      <x:c r="X25" s="201" t="n">
        <x:f>X22+X21-X24</x:f>
        <x:v>58.63807888637144</x:v>
      </x:c>
      <x:c r="Y25" s="201" t="n">
        <x:f>Y22+Y21-Y24</x:f>
        <x:v>63.924692894491535</x:v>
      </x:c>
      <x:c r="Z25" s="201" t="n">
        <x:f>Z22+Z21-Z24</x:f>
        <x:v>69.61636899234493</x:v>
      </x:c>
      <x:c r="AA25" s="201" t="n">
        <x:f>AA22+AA21-AA24</x:f>
        <x:v>75.74604815803778</x:v>
      </x:c>
      <x:c r="AB25" s="201" t="n">
        <x:f>AB22+AB21-AB24</x:f>
        <x:v>82.3492905675969</x:v>
      </x:c>
      <x:c r="AC25" s="201" t="n">
        <x:f>AC22+AC21-AC24</x:f>
        <x:v>89.46448561321327</x:v>
      </x:c>
      <x:c r="AD25" s="201" t="n">
        <x:f>AD22+AD21-AD24</x:f>
        <x:v>97.1330787084727</x:v>
      </x:c>
      <x:c r="AE25" s="201" t="n">
        <x:f>AE22+AE21-AE24</x:f>
        <x:v>105.39981622396678</x:v>
      </x:c>
      <x:c r="AF25" s="201" t="n">
        <x:f>AF22+AF21-AF24</x:f>
        <x:v>114.31301000413592</x:v>
      </x:c>
      <x:c r="AG25" s="201" t="n">
        <x:f>AG22+AG21-AG24</x:f>
        <x:v>123.92482303225103</x:v>
      </x:c>
      <x:c r="AH25" s="201" t="n">
        <x:f>AH22+AH21-AH24</x:f>
        <x:v>134.29157793578185</x:v>
      </x:c>
      <x:c r="AI25" s="201" t="n">
        <x:f>AI22+AI21-AI24</x:f>
        <x:v>145.47409015976658</x:v>
      </x:c>
      <x:c r="AJ25" s="201" t="n">
        <x:f>AJ22+AJ21-AJ24</x:f>
        <x:v>157.53802778199642</x:v>
      </x:c>
      <x:c r="AK25" s="201" t="n">
        <x:f>AK22+AK21-AK24</x:f>
        <x:v>170.55430010172122</x:v>
      </x:c>
    </x:row>
    <x:row r="26">
      <x:c r="A26" s="134"/>
      <x:c r="B26" s="202"/>
      <x:c r="C26" s="202"/>
      <x:c r="D26" s="202"/>
      <x:c r="E26" s="202"/>
      <x:c r="F26" s="202"/>
      <x:c r="G26" s="202"/>
      <x:c r="H26" s="202"/>
      <x:c r="I26" s="202"/>
      <x:c r="J26" s="202"/>
      <x:c r="K26" s="202"/>
      <x:c r="L26" s="202"/>
      <x:c r="M26" s="202"/>
      <x:c r="N26" s="202"/>
      <x:c r="O26" s="202"/>
      <x:c r="P26" s="202"/>
      <x:c r="Q26" s="202"/>
      <x:c r="R26" s="202"/>
      <x:c r="S26" s="202"/>
      <x:c r="T26" s="202"/>
      <x:c r="U26" s="202"/>
      <x:c r="V26" s="202"/>
      <x:c r="W26" s="202"/>
      <x:c r="X26" s="202"/>
      <x:c r="Y26" s="202"/>
      <x:c r="Z26" s="202"/>
      <x:c r="AA26" s="202"/>
      <x:c r="AB26" s="202"/>
      <x:c r="AC26" s="202"/>
      <x:c r="AD26" s="202"/>
      <x:c r="AE26" s="202"/>
      <x:c r="AF26" s="202"/>
      <x:c r="AG26" s="202"/>
      <x:c r="AH26" s="202"/>
      <x:c r="AI26" s="202"/>
      <x:c r="AJ26" s="202"/>
      <x:c r="AK26" s="202"/>
    </x:row>
    <x:row r="27">
      <x:c r="A27" s="108" t="str">
        <x:v>REVENUE</x:v>
      </x:c>
      <x:c r="B27" s="176" t="str">
        <x:v>REVENUE</x:v>
      </x:c>
      <x:c r="C27" s="176" t="str">
        <x:v>REVENUE</x:v>
      </x:c>
      <x:c r="D27" s="176" t="str">
        <x:v>REVENUE</x:v>
      </x:c>
      <x:c r="E27" s="176" t="str">
        <x:v>REVENUE</x:v>
      </x:c>
      <x:c r="F27" s="176" t="str">
        <x:v>REVENUE</x:v>
      </x:c>
      <x:c r="G27" s="176" t="str">
        <x:v>REVENUE</x:v>
      </x:c>
      <x:c r="H27" s="176" t="str">
        <x:v>REVENUE</x:v>
      </x:c>
      <x:c r="I27" s="176" t="str">
        <x:v>REVENUE</x:v>
      </x:c>
      <x:c r="J27" s="176" t="str">
        <x:v>REVENUE</x:v>
      </x:c>
      <x:c r="K27" s="176" t="str">
        <x:v>REVENUE</x:v>
      </x:c>
      <x:c r="L27" s="176" t="str">
        <x:v>REVENUE</x:v>
      </x:c>
      <x:c r="M27" s="176" t="str">
        <x:v>REVENUE</x:v>
      </x:c>
      <x:c r="N27" s="176" t="str">
        <x:v>REVENUE</x:v>
      </x:c>
      <x:c r="O27" s="176" t="str">
        <x:v>REVENUE</x:v>
      </x:c>
      <x:c r="P27" s="176" t="str">
        <x:v>REVENUE</x:v>
      </x:c>
      <x:c r="Q27" s="176" t="str">
        <x:v>REVENUE</x:v>
      </x:c>
      <x:c r="R27" s="176" t="str">
        <x:v>REVENUE</x:v>
      </x:c>
      <x:c r="S27" s="176" t="str">
        <x:v>REVENUE</x:v>
      </x:c>
      <x:c r="T27" s="176" t="str">
        <x:v>REVENUE</x:v>
      </x:c>
      <x:c r="U27" s="176" t="str">
        <x:v>REVENUE</x:v>
      </x:c>
      <x:c r="V27" s="176" t="str">
        <x:v>REVENUE</x:v>
      </x:c>
      <x:c r="W27" s="176" t="str">
        <x:v>REVENUE</x:v>
      </x:c>
      <x:c r="X27" s="176" t="str">
        <x:v>REVENUE</x:v>
      </x:c>
      <x:c r="Y27" s="176" t="str">
        <x:v>REVENUE</x:v>
      </x:c>
      <x:c r="Z27" s="176" t="str">
        <x:v>REVENUE</x:v>
      </x:c>
      <x:c r="AA27" s="176" t="str">
        <x:v>REVENUE</x:v>
      </x:c>
      <x:c r="AB27" s="176" t="str">
        <x:v>REVENUE</x:v>
      </x:c>
      <x:c r="AC27" s="176" t="str">
        <x:v>REVENUE</x:v>
      </x:c>
      <x:c r="AD27" s="176" t="str">
        <x:v>REVENUE</x:v>
      </x:c>
      <x:c r="AE27" s="176" t="str">
        <x:v>REVENUE</x:v>
      </x:c>
      <x:c r="AF27" s="176" t="str">
        <x:v>REVENUE</x:v>
      </x:c>
      <x:c r="AG27" s="176" t="str">
        <x:v>REVENUE</x:v>
      </x:c>
      <x:c r="AH27" s="176" t="str">
        <x:v>REVENUE</x:v>
      </x:c>
      <x:c r="AI27" s="176" t="str">
        <x:v>REVENUE</x:v>
      </x:c>
      <x:c r="AJ27" s="176" t="str">
        <x:v>REVENUE</x:v>
      </x:c>
      <x:c r="AK27" s="176" t="str">
        <x:v>REVENUE</x:v>
      </x:c>
    </x:row>
    <x:row r="28">
      <x:c r="A28" s="134" t="str">
        <x:v>Individual subscription ARPU</x:v>
      </x:c>
      <x:c r="B28" s="203" t="n">
        <x:f>'Assumptions'!$F$17</x:f>
        <x:v>24</x:v>
      </x:c>
      <x:c r="C28" s="203" t="n">
        <x:f>'Assumptions'!$F$17</x:f>
        <x:v>24</x:v>
      </x:c>
      <x:c r="D28" s="203" t="n">
        <x:f>'Assumptions'!$F$17</x:f>
        <x:v>24</x:v>
      </x:c>
      <x:c r="E28" s="203" t="n">
        <x:f>'Assumptions'!$F$17</x:f>
        <x:v>24</x:v>
      </x:c>
      <x:c r="F28" s="203" t="n">
        <x:f>'Assumptions'!$F$17</x:f>
        <x:v>24</x:v>
      </x:c>
      <x:c r="G28" s="203" t="n">
        <x:f>'Assumptions'!$F$17</x:f>
        <x:v>24</x:v>
      </x:c>
      <x:c r="H28" s="203" t="n">
        <x:f>'Assumptions'!$F$17</x:f>
        <x:v>24</x:v>
      </x:c>
      <x:c r="I28" s="203" t="n">
        <x:f>'Assumptions'!$F$17</x:f>
        <x:v>24</x:v>
      </x:c>
      <x:c r="J28" s="203" t="n">
        <x:f>'Assumptions'!$F$17</x:f>
        <x:v>24</x:v>
      </x:c>
      <x:c r="K28" s="203" t="n">
        <x:f>'Assumptions'!$F$17</x:f>
        <x:v>24</x:v>
      </x:c>
      <x:c r="L28" s="203" t="n">
        <x:f>'Assumptions'!$F$17</x:f>
        <x:v>24</x:v>
      </x:c>
      <x:c r="M28" s="203" t="n">
        <x:f>'Assumptions'!$F$17</x:f>
        <x:v>24</x:v>
      </x:c>
      <x:c r="N28" s="203" t="n">
        <x:f>'Assumptions'!$F$17</x:f>
        <x:v>24</x:v>
      </x:c>
      <x:c r="O28" s="203" t="n">
        <x:f>'Assumptions'!$F$17</x:f>
        <x:v>24</x:v>
      </x:c>
      <x:c r="P28" s="203" t="n">
        <x:f>'Assumptions'!$F$17</x:f>
        <x:v>24</x:v>
      </x:c>
      <x:c r="Q28" s="203" t="n">
        <x:f>'Assumptions'!$F$17</x:f>
        <x:v>24</x:v>
      </x:c>
      <x:c r="R28" s="203" t="n">
        <x:f>'Assumptions'!$F$17</x:f>
        <x:v>24</x:v>
      </x:c>
      <x:c r="S28" s="203" t="n">
        <x:f>'Assumptions'!$F$17</x:f>
        <x:v>24</x:v>
      </x:c>
      <x:c r="T28" s="203" t="n">
        <x:f>'Assumptions'!$F$17</x:f>
        <x:v>24</x:v>
      </x:c>
      <x:c r="U28" s="203" t="n">
        <x:f>'Assumptions'!$F$17</x:f>
        <x:v>24</x:v>
      </x:c>
      <x:c r="V28" s="203" t="n">
        <x:f>'Assumptions'!$F$17</x:f>
        <x:v>24</x:v>
      </x:c>
      <x:c r="W28" s="203" t="n">
        <x:f>'Assumptions'!$F$17</x:f>
        <x:v>24</x:v>
      </x:c>
      <x:c r="X28" s="203" t="n">
        <x:f>'Assumptions'!$F$17</x:f>
        <x:v>24</x:v>
      </x:c>
      <x:c r="Y28" s="203" t="n">
        <x:f>'Assumptions'!$F$17</x:f>
        <x:v>24</x:v>
      </x:c>
      <x:c r="Z28" s="203" t="n">
        <x:f>'Assumptions'!$F$17</x:f>
        <x:v>24</x:v>
      </x:c>
      <x:c r="AA28" s="203" t="n">
        <x:f>'Assumptions'!$F$17</x:f>
        <x:v>24</x:v>
      </x:c>
      <x:c r="AB28" s="203" t="n">
        <x:f>'Assumptions'!$F$17</x:f>
        <x:v>24</x:v>
      </x:c>
      <x:c r="AC28" s="203" t="n">
        <x:f>'Assumptions'!$F$17</x:f>
        <x:v>24</x:v>
      </x:c>
      <x:c r="AD28" s="203" t="n">
        <x:f>'Assumptions'!$F$17</x:f>
        <x:v>24</x:v>
      </x:c>
      <x:c r="AE28" s="203" t="n">
        <x:f>'Assumptions'!$F$17</x:f>
        <x:v>24</x:v>
      </x:c>
      <x:c r="AF28" s="203" t="n">
        <x:f>'Assumptions'!$F$17</x:f>
        <x:v>24</x:v>
      </x:c>
      <x:c r="AG28" s="203" t="n">
        <x:f>'Assumptions'!$F$17</x:f>
        <x:v>24</x:v>
      </x:c>
      <x:c r="AH28" s="203" t="n">
        <x:f>'Assumptions'!$F$17</x:f>
        <x:v>24</x:v>
      </x:c>
      <x:c r="AI28" s="203" t="n">
        <x:f>'Assumptions'!$F$17</x:f>
        <x:v>24</x:v>
      </x:c>
      <x:c r="AJ28" s="203" t="n">
        <x:f>'Assumptions'!$F$17</x:f>
        <x:v>24</x:v>
      </x:c>
      <x:c r="AK28" s="203" t="n">
        <x:f>'Assumptions'!$F$17</x:f>
        <x:v>24</x:v>
      </x:c>
    </x:row>
    <x:row r="29">
      <x:c r="A29" s="134" t="str">
        <x:v>Program / accelerator ARPA</x:v>
      </x:c>
      <x:c r="B29" s="203" t="n">
        <x:f>'Assumptions'!$F$18</x:f>
        <x:v>249</x:v>
      </x:c>
      <x:c r="C29" s="203" t="n">
        <x:f>'Assumptions'!$F$18</x:f>
        <x:v>249</x:v>
      </x:c>
      <x:c r="D29" s="203" t="n">
        <x:f>'Assumptions'!$F$18</x:f>
        <x:v>249</x:v>
      </x:c>
      <x:c r="E29" s="203" t="n">
        <x:f>'Assumptions'!$F$18</x:f>
        <x:v>249</x:v>
      </x:c>
      <x:c r="F29" s="203" t="n">
        <x:f>'Assumptions'!$F$18</x:f>
        <x:v>249</x:v>
      </x:c>
      <x:c r="G29" s="203" t="n">
        <x:f>'Assumptions'!$F$18</x:f>
        <x:v>249</x:v>
      </x:c>
      <x:c r="H29" s="203" t="n">
        <x:f>'Assumptions'!$F$18</x:f>
        <x:v>249</x:v>
      </x:c>
      <x:c r="I29" s="203" t="n">
        <x:f>'Assumptions'!$F$18</x:f>
        <x:v>249</x:v>
      </x:c>
      <x:c r="J29" s="203" t="n">
        <x:f>'Assumptions'!$F$18</x:f>
        <x:v>249</x:v>
      </x:c>
      <x:c r="K29" s="203" t="n">
        <x:f>'Assumptions'!$F$18</x:f>
        <x:v>249</x:v>
      </x:c>
      <x:c r="L29" s="203" t="n">
        <x:f>'Assumptions'!$F$18</x:f>
        <x:v>249</x:v>
      </x:c>
      <x:c r="M29" s="203" t="n">
        <x:f>'Assumptions'!$F$18</x:f>
        <x:v>249</x:v>
      </x:c>
      <x:c r="N29" s="203" t="n">
        <x:f>'Assumptions'!$F$18</x:f>
        <x:v>249</x:v>
      </x:c>
      <x:c r="O29" s="203" t="n">
        <x:f>'Assumptions'!$F$18</x:f>
        <x:v>249</x:v>
      </x:c>
      <x:c r="P29" s="203" t="n">
        <x:f>'Assumptions'!$F$18</x:f>
        <x:v>249</x:v>
      </x:c>
      <x:c r="Q29" s="203" t="n">
        <x:f>'Assumptions'!$F$18</x:f>
        <x:v>249</x:v>
      </x:c>
      <x:c r="R29" s="203" t="n">
        <x:f>'Assumptions'!$F$18</x:f>
        <x:v>249</x:v>
      </x:c>
      <x:c r="S29" s="203" t="n">
        <x:f>'Assumptions'!$F$18</x:f>
        <x:v>249</x:v>
      </x:c>
      <x:c r="T29" s="203" t="n">
        <x:f>'Assumptions'!$F$18</x:f>
        <x:v>249</x:v>
      </x:c>
      <x:c r="U29" s="203" t="n">
        <x:f>'Assumptions'!$F$18</x:f>
        <x:v>249</x:v>
      </x:c>
      <x:c r="V29" s="203" t="n">
        <x:f>'Assumptions'!$F$18</x:f>
        <x:v>249</x:v>
      </x:c>
      <x:c r="W29" s="203" t="n">
        <x:f>'Assumptions'!$F$18</x:f>
        <x:v>249</x:v>
      </x:c>
      <x:c r="X29" s="203" t="n">
        <x:f>'Assumptions'!$F$18</x:f>
        <x:v>249</x:v>
      </x:c>
      <x:c r="Y29" s="203" t="n">
        <x:f>'Assumptions'!$F$18</x:f>
        <x:v>249</x:v>
      </x:c>
      <x:c r="Z29" s="203" t="n">
        <x:f>'Assumptions'!$F$18</x:f>
        <x:v>249</x:v>
      </x:c>
      <x:c r="AA29" s="203" t="n">
        <x:f>'Assumptions'!$F$18</x:f>
        <x:v>249</x:v>
      </x:c>
      <x:c r="AB29" s="203" t="n">
        <x:f>'Assumptions'!$F$18</x:f>
        <x:v>249</x:v>
      </x:c>
      <x:c r="AC29" s="203" t="n">
        <x:f>'Assumptions'!$F$18</x:f>
        <x:v>249</x:v>
      </x:c>
      <x:c r="AD29" s="203" t="n">
        <x:f>'Assumptions'!$F$18</x:f>
        <x:v>249</x:v>
      </x:c>
      <x:c r="AE29" s="203" t="n">
        <x:f>'Assumptions'!$F$18</x:f>
        <x:v>249</x:v>
      </x:c>
      <x:c r="AF29" s="203" t="n">
        <x:f>'Assumptions'!$F$18</x:f>
        <x:v>249</x:v>
      </x:c>
      <x:c r="AG29" s="203" t="n">
        <x:f>'Assumptions'!$F$18</x:f>
        <x:v>249</x:v>
      </x:c>
      <x:c r="AH29" s="203" t="n">
        <x:f>'Assumptions'!$F$18</x:f>
        <x:v>249</x:v>
      </x:c>
      <x:c r="AI29" s="203" t="n">
        <x:f>'Assumptions'!$F$18</x:f>
        <x:v>249</x:v>
      </x:c>
      <x:c r="AJ29" s="203" t="n">
        <x:f>'Assumptions'!$F$18</x:f>
        <x:v>249</x:v>
      </x:c>
      <x:c r="AK29" s="203" t="n">
        <x:f>'Assumptions'!$F$18</x:f>
        <x:v>249</x:v>
      </x:c>
    </x:row>
    <x:row r="30">
      <x:c r="A30" s="134" t="str">
        <x:v>B2C subscription revenue</x:v>
      </x:c>
      <x:c r="B30" s="204" t="n">
        <x:f>B16*B28</x:f>
        <x:v>230.39999999999998</x:v>
      </x:c>
      <x:c r="C30" s="204" t="n">
        <x:f>C16*C28</x:f>
        <x:v>474.624</x:v>
      </x:c>
      <x:c r="D30" s="204" t="n">
        <x:f>D16*D28</x:f>
        <x:v>735.16032</x:v>
      </x:c>
      <x:c r="E30" s="204" t="n">
        <x:f>E16*E28</x:f>
        <x:v>1014.746112</x:v>
      </x:c>
      <x:c r="F30" s="204" t="n">
        <x:f>F16*F28</x:f>
        <x:v>1316.4002058240003</x:v>
      </x:c>
      <x:c r="G30" s="204" t="n">
        <x:f>G16*G28</x:f>
        <x:v>1643.4597172838403</x:v>
      </x:c>
      <x:c r="H30" s="204" t="n">
        <x:f>H16*H28</x:f>
        <x:v>1999.620880913204</x:v>
      </x:c>
      <x:c r="I30" s="204" t="n">
        <x:f>I16*I28</x:f>
        <x:v>2388.984624324773</x:v>
      </x:c>
      <x:c r="J30" s="204" t="n">
        <x:f>J16*J28</x:f>
        <x:v>2816.1074626836107</x:v>
      </x:c>
      <x:c r="K30" s="204" t="n">
        <x:f>K16*K28</x:f>
        <x:v>3286.058360639118</x:v>
      </x:c>
      <x:c r="L30" s="204" t="n">
        <x:f>L16*L28</x:f>
        <x:v>3804.4822862032775</x:v>
      </x:c>
      <x:c r="M30" s="204" t="n">
        <x:f>M16*M28</x:f>
        <x:v>4377.671267497888</x:v>
      </x:c>
      <x:c r="N30" s="204" t="n">
        <x:f>N16*N28</x:f>
        <x:v>5012.643860130839</x:v>
      </x:c>
      <x:c r="O30" s="204" t="n">
        <x:f>O16*O28</x:f>
        <x:v>5717.234041447752</x:v>
      </x:c>
      <x:c r="P30" s="204" t="n">
        <x:f>P16*P28</x:f>
        <x:v>6500.190669436622</x:v>
      </x:c>
      <x:c r="Q30" s="204" t="n">
        <x:f>Q16*Q28</x:f>
        <x:v>7371.288780203248</x:v>
      </x:c>
      <x:c r="R30" s="204" t="n">
        <x:f>R16*R28</x:f>
        <x:v>8341.454150435817</x:v>
      </x:c>
      <x:c r="S30" s="204" t="n">
        <x:f>S16*S28</x:f>
        <x:v>9422.9027220998</x:v>
      </x:c>
      <x:c r="T30" s="204" t="n">
        <x:f>T16*T28</x:f>
        <x:v>10629.296677946762</x:v>
      </x:c>
      <x:c r="U30" s="204" t="n">
        <x:f>U16*U28</x:f>
        <x:v>11975.91917074366</x:v>
      </x:c>
      <x:c r="V30" s="204" t="n">
        <x:f>V16*V28</x:f>
        <x:v>13479.86994918959</x:v>
      </x:c>
      <x:c r="W30" s="204" t="n">
        <x:f>W16*W28</x:f>
        <x:v>15160.284392371628</x:v>
      </x:c>
      <x:c r="X30" s="204" t="n">
        <x:f>X16*X28</x:f>
        <x:v>17038.57876577876</x:v>
      </x:c>
      <x:c r="Y30" s="204" t="n">
        <x:f>Y16*Y28</x:f>
        <x:v>19138.72484921539</x:v>
      </x:c>
      <x:c r="Z30" s="204" t="n">
        <x:f>Z16*Z28</x:f>
        <x:v>21487.557464771824</x:v>
      </x:c>
      <x:c r="AA30" s="204" t="n">
        <x:f>AA16*AA28</x:f>
        <x:v>24115.118856176</x:v>
      </x:c>
      <x:c r="AB30" s="204" t="n">
        <x:f>AB16*AB28</x:f>
        <x:v>27055.044344810776</x:v>
      </x:c>
      <x:c r="AC30" s="204" t="n">
        <x:f>AC16*AC28</x:f>
        <x:v>30344.99421852811</x:v>
      </x:c>
      <x:c r="AD30" s="204" t="n">
        <x:f>AD16*AD28</x:f>
        <x:v>34027.13740395113</x:v>
      </x:c>
      <x:c r="AE30" s="204" t="n">
        <x:f>AE16*AE28</x:f>
        <x:v>38148.69313887293</x:v>
      </x:c>
      <x:c r="AF30" s="204" t="n">
        <x:f>AF16*AF28</x:f>
        <x:v>42762.53760719848</x:v>
      </x:c>
      <x:c r="AG30" s="204" t="n">
        <x:f>AG16*AG28</x:f>
        <x:v>47927.88333422346</x:v>
      </x:c>
      <x:c r="AH30" s="204" t="n">
        <x:f>AH16*AH28</x:f>
        <x:v>53711.04007564175</x:v>
      </x:c>
      <x:c r="AI30" s="204" t="n">
        <x:f>AI16*AI28</x:f>
        <x:v>60186.26698155157</x:v>
      </x:c>
      <x:c r="AJ30" s="204" t="n">
        <x:f>AJ16*AJ28</x:f>
        <x:v>67436.7269903606</x:v>
      </x:c>
      <x:c r="AK30" s="204" t="n">
        <x:f>AK16*AK28</x:f>
        <x:v>75555.55572196533</x:v>
      </x:c>
    </x:row>
    <x:row r="31">
      <x:c r="A31" s="134" t="str">
        <x:v>B2B program revenue</x:v>
      </x:c>
      <x:c r="B31" s="204" t="n">
        <x:f>B25*B29</x:f>
        <x:v>298.8</x:v>
      </x:c>
      <x:c r="C31" s="204" t="n">
        <x:f>C25*C29</x:f>
        <x:v>612.5400000000001</x:v>
      </x:c>
      <x:c r="D31" s="204" t="n">
        <x:f>D25*D29</x:f>
        <x:v>942.6841200000002</x:v>
      </x:c>
      <x:c r="E31" s="204" t="n">
        <x:f>E25*E29</x:f>
        <x:v>1290.8055420000003</x:v>
      </x:c>
      <x:c r="F31" s="204" t="n">
        <x:f>F25*F29</x:f>
        <x:v>1658.5954769880007</x:v>
      </x:c>
      <x:c r="G31" s="204" t="n">
        <x:f>G25*G29</x:f>
        <x:v>2047.8728420262007</x:v>
      </x:c>
      <x:c r="H31" s="204" t="n">
        <x:f>H25*H29</x:f>
        <x:v>2460.594704461082</x:v>
      </x:c>
      <x:c r="I31" s="204" t="n">
        <x:f>I25*I29</x:f>
        <x:v>2898.86755483857</x:v>
      </x:c>
      <x:c r="J31" s="204" t="n">
        <x:f>J25*J29</x:f>
        <x:v>3364.959475025639</x:v>
      </x:c>
      <x:c r="K31" s="204" t="n">
        <x:f>K25*K29</x:f>
        <x:v>3861.3132733536745</x:v>
      </x:c>
      <x:c r="L31" s="204" t="n">
        <x:f>L25*L29</x:f>
        <x:v>4390.560664338173</x:v>
      </x:c>
      <x:c r="M31" s="204" t="n">
        <x:f>M25*M29</x:f>
        <x:v>4955.537576727946</x:v>
      </x:c>
      <x:c r="N31" s="204" t="n">
        <x:f>N25*N29</x:f>
        <x:v>5559.300680331619</x:v>
      </x:c>
      <x:c r="O31" s="204" t="n">
        <x:f>O25*O29</x:f>
        <x:v>6205.145229299624</x:v>
      </x:c>
      <x:c r="P31" s="204" t="n">
        <x:f>P25*P29</x:f>
        <x:v>6896.624327348823</x:v>
      </x:c>
      <x:c r="Q31" s="204" t="n">
        <x:f>Q25*Q29</x:f>
        <x:v>7637.569728850802</x:v>
      </x:c>
      <x:c r="R31" s="204" t="n">
        <x:f>R25*R29</x:f>
        <x:v>8432.114298813516</x:v>
      </x:c>
      <x:c r="S31" s="204" t="n">
        <x:f>S25*S29</x:f>
        <x:v>9284.71626462361</x:v>
      </x:c>
      <x:c r="T31" s="204" t="n">
        <x:f>T25*T29</x:f>
        <x:v>10200.18540304136</x:v>
      </x:c>
      <x:c r="U31" s="204" t="n">
        <x:f>U25*U29</x:f>
        <x:v>11183.711317415095</x:v>
      </x:c>
      <x:c r="V31" s="204" t="n">
        <x:f>V25*V29</x:f>
        <x:v>12240.893972474816</x:v>
      </x:c>
      <x:c r="W31" s="204" t="n">
        <x:f>W25*W29</x:f>
        <x:v>13377.77666744932</x:v>
      </x:c>
      <x:c r="X31" s="204" t="n">
        <x:f>X25*X29</x:f>
        <x:v>14600.881642706488</x:v>
      </x:c>
      <x:c r="Y31" s="204" t="n">
        <x:f>Y25*Y29</x:f>
        <x:v>15917.248530728391</x:v>
      </x:c>
      <x:c r="Z31" s="204" t="n">
        <x:f>Z25*Z29</x:f>
        <x:v>17334.475879093887</x:v>
      </x:c>
      <x:c r="AA31" s="204" t="n">
        <x:f>AA25*AA29</x:f>
        <x:v>18860.765991351407</x:v>
      </x:c>
      <x:c r="AB31" s="204" t="n">
        <x:f>AB25*AB29</x:f>
        <x:v>20504.973351331628</x:v>
      </x:c>
      <x:c r="AC31" s="204" t="n">
        <x:f>AC25*AC29</x:f>
        <x:v>22276.656917690103</x:v>
      </x:c>
      <x:c r="AD31" s="204" t="n">
        <x:f>AD25*AD29</x:f>
        <x:v>24186.136598409703</x:v>
      </x:c>
      <x:c r="AE31" s="204" t="n">
        <x:f>AE25*AE29</x:f>
        <x:v>26244.554239767727</x:v>
      </x:c>
      <x:c r="AF31" s="204" t="n">
        <x:f>AF25*AF29</x:f>
        <x:v>28463.939491029843</x:v>
      </x:c>
      <x:c r="AG31" s="204" t="n">
        <x:f>AG25*AG29</x:f>
        <x:v>30857.280935030507</x:v>
      </x:c>
      <x:c r="AH31" s="204" t="n">
        <x:f>AH25*AH29</x:f>
        <x:v>33438.60290600968</x:v>
      </x:c>
      <x:c r="AI31" s="204" t="n">
        <x:f>AI25*AI29</x:f>
        <x:v>36223.048449781876</x:v>
      </x:c>
      <x:c r="AJ31" s="204" t="n">
        <x:f>AJ25*AJ29</x:f>
        <x:v>39226.96891771711</x:v>
      </x:c>
      <x:c r="AK31" s="204" t="n">
        <x:f>AK25*AK29</x:f>
        <x:v>42468.020725328584</x:v>
      </x:c>
    </x:row>
    <x:row r="32">
      <x:c r="A32" s="150" t="str">
        <x:v>Total revenue</x:v>
      </x:c>
      <x:c r="B32" s="205" t="n">
        <x:f>SUM(B30:B31)</x:f>
        <x:v>529.2</x:v>
      </x:c>
      <x:c r="C32" s="205" t="n">
        <x:f>SUM(C30:C31)</x:f>
        <x:v>1087.1640000000002</x:v>
      </x:c>
      <x:c r="D32" s="205" t="n">
        <x:f>SUM(D30:D31)</x:f>
        <x:v>1677.8444400000003</x:v>
      </x:c>
      <x:c r="E32" s="205" t="n">
        <x:f>SUM(E30:E31)</x:f>
        <x:v>2305.5516540000003</x:v>
      </x:c>
      <x:c r="F32" s="205" t="n">
        <x:f>SUM(F30:F31)</x:f>
        <x:v>2974.995682812001</x:v>
      </x:c>
      <x:c r="G32" s="205" t="n">
        <x:f>SUM(G30:G31)</x:f>
        <x:v>3691.332559310041</x:v>
      </x:c>
      <x:c r="H32" s="205" t="n">
        <x:f>SUM(H30:H31)</x:f>
        <x:v>4460.215585374286</x:v>
      </x:c>
      <x:c r="I32" s="205" t="n">
        <x:f>SUM(I30:I31)</x:f>
        <x:v>5287.852179163343</x:v>
      </x:c>
      <x:c r="J32" s="205" t="n">
        <x:f>SUM(J30:J31)</x:f>
        <x:v>6181.06693770925</x:v>
      </x:c>
      <x:c r="K32" s="205" t="n">
        <x:f>SUM(K30:K31)</x:f>
        <x:v>7147.371633992792</x:v>
      </x:c>
      <x:c r="L32" s="205" t="n">
        <x:f>SUM(L30:L31)</x:f>
        <x:v>8195.04295054145</x:v>
      </x:c>
      <x:c r="M32" s="205" t="n">
        <x:f>SUM(M30:M31)</x:f>
        <x:v>9333.208844225834</x:v>
      </x:c>
      <x:c r="N32" s="205" t="n">
        <x:f>SUM(N30:N31)</x:f>
        <x:v>10571.944540462458</x:v>
      </x:c>
      <x:c r="O32" s="205" t="n">
        <x:f>SUM(O30:O31)</x:f>
        <x:v>11922.379270747377</x:v>
      </x:c>
      <x:c r="P32" s="205" t="n">
        <x:f>SUM(P30:P31)</x:f>
        <x:v>13396.814996785444</x:v>
      </x:c>
      <x:c r="Q32" s="205" t="n">
        <x:f>SUM(Q30:Q31)</x:f>
        <x:v>15008.858509054051</x:v>
      </x:c>
      <x:c r="R32" s="205" t="n">
        <x:f>SUM(R30:R31)</x:f>
        <x:v>16773.56844924933</x:v>
      </x:c>
      <x:c r="S32" s="205" t="n">
        <x:f>SUM(S30:S31)</x:f>
        <x:v>18707.61898672341</x:v>
      </x:c>
      <x:c r="T32" s="205" t="n">
        <x:f>SUM(T30:T31)</x:f>
        <x:v>20829.48208098812</x:v>
      </x:c>
      <x:c r="U32" s="205" t="n">
        <x:f>SUM(U30:U31)</x:f>
        <x:v>23159.630488158757</x:v>
      </x:c>
      <x:c r="V32" s="205" t="n">
        <x:f>SUM(V30:V31)</x:f>
        <x:v>25720.763921664406</x:v>
      </x:c>
      <x:c r="W32" s="205" t="n">
        <x:f>SUM(W30:W31)</x:f>
        <x:v>28538.061059820946</x:v>
      </x:c>
      <x:c r="X32" s="205" t="n">
        <x:f>SUM(X30:X31)</x:f>
        <x:v>31639.460408485247</x:v>
      </x:c>
      <x:c r="Y32" s="205" t="n">
        <x:f>SUM(Y30:Y31)</x:f>
        <x:v>35055.97337994378</x:v>
      </x:c>
      <x:c r="Z32" s="205" t="n">
        <x:f>SUM(Z30:Z31)</x:f>
        <x:v>38822.03334386571</x:v>
      </x:c>
      <x:c r="AA32" s="205" t="n">
        <x:f>SUM(AA30:AA31)</x:f>
        <x:v>42975.884847527406</x:v>
      </x:c>
      <x:c r="AB32" s="205" t="n">
        <x:f>SUM(AB30:AB31)</x:f>
        <x:v>47560.0176961424</x:v>
      </x:c>
      <x:c r="AC32" s="205" t="n">
        <x:f>SUM(AC30:AC31)</x:f>
        <x:v>52621.651136218214</x:v>
      </x:c>
      <x:c r="AD32" s="205" t="n">
        <x:f>SUM(AD30:AD31)</x:f>
        <x:v>58213.274002360835</x:v>
      </x:c>
      <x:c r="AE32" s="205" t="n">
        <x:f>SUM(AE30:AE31)</x:f>
        <x:v>64393.247378640655</x:v>
      </x:c>
      <x:c r="AF32" s="205" t="n">
        <x:f>SUM(AF30:AF31)</x:f>
        <x:v>71226.47709822832</x:v>
      </x:c>
      <x:c r="AG32" s="205" t="n">
        <x:f>SUM(AG30:AG31)</x:f>
        <x:v>78785.16426925396</x:v>
      </x:c>
      <x:c r="AH32" s="205" t="n">
        <x:f>SUM(AH30:AH31)</x:f>
        <x:v>87149.64298165143</x:v>
      </x:c>
      <x:c r="AI32" s="205" t="n">
        <x:f>SUM(AI30:AI31)</x:f>
        <x:v>96409.31543133344</x:v>
      </x:c>
      <x:c r="AJ32" s="205" t="n">
        <x:f>SUM(AJ30:AJ31)</x:f>
        <x:v>106663.69590807772</x:v>
      </x:c>
      <x:c r="AK32" s="205" t="n">
        <x:f>SUM(AK30:AK31)</x:f>
        <x:v>118023.57644729392</x:v>
      </x:c>
    </x:row>
    <x:row r="33">
      <x:c r="A33" s="134" t="str">
        <x:v>Monthly recurring revenue (MRR)</x:v>
      </x:c>
      <x:c r="B33" s="204" t="n">
        <x:f>B32</x:f>
        <x:v>529.2</x:v>
      </x:c>
      <x:c r="C33" s="204" t="n">
        <x:f>C32</x:f>
        <x:v>1087.1640000000002</x:v>
      </x:c>
      <x:c r="D33" s="204" t="n">
        <x:f>D32</x:f>
        <x:v>1677.8444400000003</x:v>
      </x:c>
      <x:c r="E33" s="204" t="n">
        <x:f>E32</x:f>
        <x:v>2305.5516540000003</x:v>
      </x:c>
      <x:c r="F33" s="204" t="n">
        <x:f>F32</x:f>
        <x:v>2974.995682812001</x:v>
      </x:c>
      <x:c r="G33" s="204" t="n">
        <x:f>G32</x:f>
        <x:v>3691.332559310041</x:v>
      </x:c>
      <x:c r="H33" s="204" t="n">
        <x:f>H32</x:f>
        <x:v>4460.215585374286</x:v>
      </x:c>
      <x:c r="I33" s="204" t="n">
        <x:f>I32</x:f>
        <x:v>5287.852179163343</x:v>
      </x:c>
      <x:c r="J33" s="204" t="n">
        <x:f>J32</x:f>
        <x:v>6181.06693770925</x:v>
      </x:c>
      <x:c r="K33" s="204" t="n">
        <x:f>K32</x:f>
        <x:v>7147.371633992792</x:v>
      </x:c>
      <x:c r="L33" s="204" t="n">
        <x:f>L32</x:f>
        <x:v>8195.04295054145</x:v>
      </x:c>
      <x:c r="M33" s="204" t="n">
        <x:f>M32</x:f>
        <x:v>9333.208844225834</x:v>
      </x:c>
      <x:c r="N33" s="204" t="n">
        <x:f>N32</x:f>
        <x:v>10571.944540462458</x:v>
      </x:c>
      <x:c r="O33" s="204" t="n">
        <x:f>O32</x:f>
        <x:v>11922.379270747377</x:v>
      </x:c>
      <x:c r="P33" s="204" t="n">
        <x:f>P32</x:f>
        <x:v>13396.814996785444</x:v>
      </x:c>
      <x:c r="Q33" s="204" t="n">
        <x:f>Q32</x:f>
        <x:v>15008.858509054051</x:v>
      </x:c>
      <x:c r="R33" s="204" t="n">
        <x:f>R32</x:f>
        <x:v>16773.56844924933</x:v>
      </x:c>
      <x:c r="S33" s="204" t="n">
        <x:f>S32</x:f>
        <x:v>18707.61898672341</x:v>
      </x:c>
      <x:c r="T33" s="204" t="n">
        <x:f>T32</x:f>
        <x:v>20829.48208098812</x:v>
      </x:c>
      <x:c r="U33" s="204" t="n">
        <x:f>U32</x:f>
        <x:v>23159.630488158757</x:v>
      </x:c>
      <x:c r="V33" s="204" t="n">
        <x:f>V32</x:f>
        <x:v>25720.763921664406</x:v>
      </x:c>
      <x:c r="W33" s="204" t="n">
        <x:f>W32</x:f>
        <x:v>28538.061059820946</x:v>
      </x:c>
      <x:c r="X33" s="204" t="n">
        <x:f>X32</x:f>
        <x:v>31639.460408485247</x:v>
      </x:c>
      <x:c r="Y33" s="204" t="n">
        <x:f>Y32</x:f>
        <x:v>35055.97337994378</x:v>
      </x:c>
      <x:c r="Z33" s="204" t="n">
        <x:f>Z32</x:f>
        <x:v>38822.03334386571</x:v>
      </x:c>
      <x:c r="AA33" s="204" t="n">
        <x:f>AA32</x:f>
        <x:v>42975.884847527406</x:v>
      </x:c>
      <x:c r="AB33" s="204" t="n">
        <x:f>AB32</x:f>
        <x:v>47560.0176961424</x:v>
      </x:c>
      <x:c r="AC33" s="204" t="n">
        <x:f>AC32</x:f>
        <x:v>52621.651136218214</x:v>
      </x:c>
      <x:c r="AD33" s="204" t="n">
        <x:f>AD32</x:f>
        <x:v>58213.274002360835</x:v>
      </x:c>
      <x:c r="AE33" s="204" t="n">
        <x:f>AE32</x:f>
        <x:v>64393.247378640655</x:v>
      </x:c>
      <x:c r="AF33" s="204" t="n">
        <x:f>AF32</x:f>
        <x:v>71226.47709822832</x:v>
      </x:c>
      <x:c r="AG33" s="204" t="n">
        <x:f>AG32</x:f>
        <x:v>78785.16426925396</x:v>
      </x:c>
      <x:c r="AH33" s="204" t="n">
        <x:f>AH32</x:f>
        <x:v>87149.64298165143</x:v>
      </x:c>
      <x:c r="AI33" s="204" t="n">
        <x:f>AI32</x:f>
        <x:v>96409.31543133344</x:v>
      </x:c>
      <x:c r="AJ33" s="204" t="n">
        <x:f>AJ32</x:f>
        <x:v>106663.69590807772</x:v>
      </x:c>
      <x:c r="AK33" s="204" t="n">
        <x:f>AK32</x:f>
        <x:v>118023.57644729392</x:v>
      </x:c>
    </x:row>
    <x:row r="34">
      <x:c r="A34" s="134"/>
      <x:c r="B34" s="202"/>
      <x:c r="C34" s="202"/>
      <x:c r="D34" s="202"/>
      <x:c r="E34" s="202"/>
      <x:c r="F34" s="202"/>
      <x:c r="G34" s="202"/>
      <x:c r="H34" s="202"/>
      <x:c r="I34" s="202"/>
      <x:c r="J34" s="202"/>
      <x:c r="K34" s="202"/>
      <x:c r="L34" s="202"/>
      <x:c r="M34" s="202"/>
      <x:c r="N34" s="202"/>
      <x:c r="O34" s="202"/>
      <x:c r="P34" s="202"/>
      <x:c r="Q34" s="202"/>
      <x:c r="R34" s="202"/>
      <x:c r="S34" s="202"/>
      <x:c r="T34" s="202"/>
      <x:c r="U34" s="202"/>
      <x:c r="V34" s="202"/>
      <x:c r="W34" s="202"/>
      <x:c r="X34" s="202"/>
      <x:c r="Y34" s="202"/>
      <x:c r="Z34" s="202"/>
      <x:c r="AA34" s="202"/>
      <x:c r="AB34" s="202"/>
      <x:c r="AC34" s="202"/>
      <x:c r="AD34" s="202"/>
      <x:c r="AE34" s="202"/>
      <x:c r="AF34" s="202"/>
      <x:c r="AG34" s="202"/>
      <x:c r="AH34" s="202"/>
      <x:c r="AI34" s="202"/>
      <x:c r="AJ34" s="202"/>
      <x:c r="AK34" s="202"/>
    </x:row>
    <x:row r="35">
      <x:c r="A35" s="108" t="str">
        <x:v>COST OF REVENUE</x:v>
      </x:c>
      <x:c r="B35" s="176" t="str">
        <x:v>COST OF REVENUE</x:v>
      </x:c>
      <x:c r="C35" s="176" t="str">
        <x:v>COST OF REVENUE</x:v>
      </x:c>
      <x:c r="D35" s="176" t="str">
        <x:v>COST OF REVENUE</x:v>
      </x:c>
      <x:c r="E35" s="176" t="str">
        <x:v>COST OF REVENUE</x:v>
      </x:c>
      <x:c r="F35" s="176" t="str">
        <x:v>COST OF REVENUE</x:v>
      </x:c>
      <x:c r="G35" s="176" t="str">
        <x:v>COST OF REVENUE</x:v>
      </x:c>
      <x:c r="H35" s="176" t="str">
        <x:v>COST OF REVENUE</x:v>
      </x:c>
      <x:c r="I35" s="176" t="str">
        <x:v>COST OF REVENUE</x:v>
      </x:c>
      <x:c r="J35" s="176" t="str">
        <x:v>COST OF REVENUE</x:v>
      </x:c>
      <x:c r="K35" s="176" t="str">
        <x:v>COST OF REVENUE</x:v>
      </x:c>
      <x:c r="L35" s="176" t="str">
        <x:v>COST OF REVENUE</x:v>
      </x:c>
      <x:c r="M35" s="176" t="str">
        <x:v>COST OF REVENUE</x:v>
      </x:c>
      <x:c r="N35" s="176" t="str">
        <x:v>COST OF REVENUE</x:v>
      </x:c>
      <x:c r="O35" s="176" t="str">
        <x:v>COST OF REVENUE</x:v>
      </x:c>
      <x:c r="P35" s="176" t="str">
        <x:v>COST OF REVENUE</x:v>
      </x:c>
      <x:c r="Q35" s="176" t="str">
        <x:v>COST OF REVENUE</x:v>
      </x:c>
      <x:c r="R35" s="176" t="str">
        <x:v>COST OF REVENUE</x:v>
      </x:c>
      <x:c r="S35" s="176" t="str">
        <x:v>COST OF REVENUE</x:v>
      </x:c>
      <x:c r="T35" s="176" t="str">
        <x:v>COST OF REVENUE</x:v>
      </x:c>
      <x:c r="U35" s="176" t="str">
        <x:v>COST OF REVENUE</x:v>
      </x:c>
      <x:c r="V35" s="176" t="str">
        <x:v>COST OF REVENUE</x:v>
      </x:c>
      <x:c r="W35" s="176" t="str">
        <x:v>COST OF REVENUE</x:v>
      </x:c>
      <x:c r="X35" s="176" t="str">
        <x:v>COST OF REVENUE</x:v>
      </x:c>
      <x:c r="Y35" s="176" t="str">
        <x:v>COST OF REVENUE</x:v>
      </x:c>
      <x:c r="Z35" s="176" t="str">
        <x:v>COST OF REVENUE</x:v>
      </x:c>
      <x:c r="AA35" s="176" t="str">
        <x:v>COST OF REVENUE</x:v>
      </x:c>
      <x:c r="AB35" s="176" t="str">
        <x:v>COST OF REVENUE</x:v>
      </x:c>
      <x:c r="AC35" s="176" t="str">
        <x:v>COST OF REVENUE</x:v>
      </x:c>
      <x:c r="AD35" s="176" t="str">
        <x:v>COST OF REVENUE</x:v>
      </x:c>
      <x:c r="AE35" s="176" t="str">
        <x:v>COST OF REVENUE</x:v>
      </x:c>
      <x:c r="AF35" s="176" t="str">
        <x:v>COST OF REVENUE</x:v>
      </x:c>
      <x:c r="AG35" s="176" t="str">
        <x:v>COST OF REVENUE</x:v>
      </x:c>
      <x:c r="AH35" s="176" t="str">
        <x:v>COST OF REVENUE</x:v>
      </x:c>
      <x:c r="AI35" s="176" t="str">
        <x:v>COST OF REVENUE</x:v>
      </x:c>
      <x:c r="AJ35" s="176" t="str">
        <x:v>COST OF REVENUE</x:v>
      </x:c>
      <x:c r="AK35" s="176" t="str">
        <x:v>COST OF REVENUE</x:v>
      </x:c>
    </x:row>
    <x:row r="36">
      <x:c r="A36" s="134" t="str">
        <x:v>Reports per individual</x:v>
      </x:c>
      <x:c r="B36" s="206" t="n">
        <x:f>'Assumptions'!$F$19</x:f>
        <x:v>1.5</x:v>
      </x:c>
      <x:c r="C36" s="206" t="n">
        <x:f>'Assumptions'!$F$19</x:f>
        <x:v>1.5</x:v>
      </x:c>
      <x:c r="D36" s="206" t="n">
        <x:f>'Assumptions'!$F$19</x:f>
        <x:v>1.5</x:v>
      </x:c>
      <x:c r="E36" s="206" t="n">
        <x:f>'Assumptions'!$F$19</x:f>
        <x:v>1.5</x:v>
      </x:c>
      <x:c r="F36" s="206" t="n">
        <x:f>'Assumptions'!$F$19</x:f>
        <x:v>1.5</x:v>
      </x:c>
      <x:c r="G36" s="206" t="n">
        <x:f>'Assumptions'!$F$19</x:f>
        <x:v>1.5</x:v>
      </x:c>
      <x:c r="H36" s="206" t="n">
        <x:f>'Assumptions'!$F$19</x:f>
        <x:v>1.5</x:v>
      </x:c>
      <x:c r="I36" s="206" t="n">
        <x:f>'Assumptions'!$F$19</x:f>
        <x:v>1.5</x:v>
      </x:c>
      <x:c r="J36" s="206" t="n">
        <x:f>'Assumptions'!$F$19</x:f>
        <x:v>1.5</x:v>
      </x:c>
      <x:c r="K36" s="206" t="n">
        <x:f>'Assumptions'!$F$19</x:f>
        <x:v>1.5</x:v>
      </x:c>
      <x:c r="L36" s="206" t="n">
        <x:f>'Assumptions'!$F$19</x:f>
        <x:v>1.5</x:v>
      </x:c>
      <x:c r="M36" s="206" t="n">
        <x:f>'Assumptions'!$F$19</x:f>
        <x:v>1.5</x:v>
      </x:c>
      <x:c r="N36" s="206" t="n">
        <x:f>'Assumptions'!$F$19</x:f>
        <x:v>1.5</x:v>
      </x:c>
      <x:c r="O36" s="206" t="n">
        <x:f>'Assumptions'!$F$19</x:f>
        <x:v>1.5</x:v>
      </x:c>
      <x:c r="P36" s="206" t="n">
        <x:f>'Assumptions'!$F$19</x:f>
        <x:v>1.5</x:v>
      </x:c>
      <x:c r="Q36" s="206" t="n">
        <x:f>'Assumptions'!$F$19</x:f>
        <x:v>1.5</x:v>
      </x:c>
      <x:c r="R36" s="206" t="n">
        <x:f>'Assumptions'!$F$19</x:f>
        <x:v>1.5</x:v>
      </x:c>
      <x:c r="S36" s="206" t="n">
        <x:f>'Assumptions'!$F$19</x:f>
        <x:v>1.5</x:v>
      </x:c>
      <x:c r="T36" s="206" t="n">
        <x:f>'Assumptions'!$F$19</x:f>
        <x:v>1.5</x:v>
      </x:c>
      <x:c r="U36" s="206" t="n">
        <x:f>'Assumptions'!$F$19</x:f>
        <x:v>1.5</x:v>
      </x:c>
      <x:c r="V36" s="206" t="n">
        <x:f>'Assumptions'!$F$19</x:f>
        <x:v>1.5</x:v>
      </x:c>
      <x:c r="W36" s="206" t="n">
        <x:f>'Assumptions'!$F$19</x:f>
        <x:v>1.5</x:v>
      </x:c>
      <x:c r="X36" s="206" t="n">
        <x:f>'Assumptions'!$F$19</x:f>
        <x:v>1.5</x:v>
      </x:c>
      <x:c r="Y36" s="206" t="n">
        <x:f>'Assumptions'!$F$19</x:f>
        <x:v>1.5</x:v>
      </x:c>
      <x:c r="Z36" s="206" t="n">
        <x:f>'Assumptions'!$F$19</x:f>
        <x:v>1.5</x:v>
      </x:c>
      <x:c r="AA36" s="206" t="n">
        <x:f>'Assumptions'!$F$19</x:f>
        <x:v>1.5</x:v>
      </x:c>
      <x:c r="AB36" s="206" t="n">
        <x:f>'Assumptions'!$F$19</x:f>
        <x:v>1.5</x:v>
      </x:c>
      <x:c r="AC36" s="206" t="n">
        <x:f>'Assumptions'!$F$19</x:f>
        <x:v>1.5</x:v>
      </x:c>
      <x:c r="AD36" s="206" t="n">
        <x:f>'Assumptions'!$F$19</x:f>
        <x:v>1.5</x:v>
      </x:c>
      <x:c r="AE36" s="206" t="n">
        <x:f>'Assumptions'!$F$19</x:f>
        <x:v>1.5</x:v>
      </x:c>
      <x:c r="AF36" s="206" t="n">
        <x:f>'Assumptions'!$F$19</x:f>
        <x:v>1.5</x:v>
      </x:c>
      <x:c r="AG36" s="206" t="n">
        <x:f>'Assumptions'!$F$19</x:f>
        <x:v>1.5</x:v>
      </x:c>
      <x:c r="AH36" s="206" t="n">
        <x:f>'Assumptions'!$F$19</x:f>
        <x:v>1.5</x:v>
      </x:c>
      <x:c r="AI36" s="206" t="n">
        <x:f>'Assumptions'!$F$19</x:f>
        <x:v>1.5</x:v>
      </x:c>
      <x:c r="AJ36" s="206" t="n">
        <x:f>'Assumptions'!$F$19</x:f>
        <x:v>1.5</x:v>
      </x:c>
      <x:c r="AK36" s="206" t="n">
        <x:f>'Assumptions'!$F$19</x:f>
        <x:v>1.5</x:v>
      </x:c>
    </x:row>
    <x:row r="37">
      <x:c r="A37" s="134" t="str">
        <x:v>Reports per B2B program</x:v>
      </x:c>
      <x:c r="B37" s="198" t="n">
        <x:f>'Assumptions'!$F$20</x:f>
        <x:v>25</x:v>
      </x:c>
      <x:c r="C37" s="198" t="n">
        <x:f>'Assumptions'!$F$20</x:f>
        <x:v>25</x:v>
      </x:c>
      <x:c r="D37" s="198" t="n">
        <x:f>'Assumptions'!$F$20</x:f>
        <x:v>25</x:v>
      </x:c>
      <x:c r="E37" s="198" t="n">
        <x:f>'Assumptions'!$F$20</x:f>
        <x:v>25</x:v>
      </x:c>
      <x:c r="F37" s="198" t="n">
        <x:f>'Assumptions'!$F$20</x:f>
        <x:v>25</x:v>
      </x:c>
      <x:c r="G37" s="198" t="n">
        <x:f>'Assumptions'!$F$20</x:f>
        <x:v>25</x:v>
      </x:c>
      <x:c r="H37" s="198" t="n">
        <x:f>'Assumptions'!$F$20</x:f>
        <x:v>25</x:v>
      </x:c>
      <x:c r="I37" s="198" t="n">
        <x:f>'Assumptions'!$F$20</x:f>
        <x:v>25</x:v>
      </x:c>
      <x:c r="J37" s="198" t="n">
        <x:f>'Assumptions'!$F$20</x:f>
        <x:v>25</x:v>
      </x:c>
      <x:c r="K37" s="198" t="n">
        <x:f>'Assumptions'!$F$20</x:f>
        <x:v>25</x:v>
      </x:c>
      <x:c r="L37" s="198" t="n">
        <x:f>'Assumptions'!$F$20</x:f>
        <x:v>25</x:v>
      </x:c>
      <x:c r="M37" s="198" t="n">
        <x:f>'Assumptions'!$F$20</x:f>
        <x:v>25</x:v>
      </x:c>
      <x:c r="N37" s="198" t="n">
        <x:f>'Assumptions'!$F$20</x:f>
        <x:v>25</x:v>
      </x:c>
      <x:c r="O37" s="198" t="n">
        <x:f>'Assumptions'!$F$20</x:f>
        <x:v>25</x:v>
      </x:c>
      <x:c r="P37" s="198" t="n">
        <x:f>'Assumptions'!$F$20</x:f>
        <x:v>25</x:v>
      </x:c>
      <x:c r="Q37" s="198" t="n">
        <x:f>'Assumptions'!$F$20</x:f>
        <x:v>25</x:v>
      </x:c>
      <x:c r="R37" s="198" t="n">
        <x:f>'Assumptions'!$F$20</x:f>
        <x:v>25</x:v>
      </x:c>
      <x:c r="S37" s="198" t="n">
        <x:f>'Assumptions'!$F$20</x:f>
        <x:v>25</x:v>
      </x:c>
      <x:c r="T37" s="198" t="n">
        <x:f>'Assumptions'!$F$20</x:f>
        <x:v>25</x:v>
      </x:c>
      <x:c r="U37" s="198" t="n">
        <x:f>'Assumptions'!$F$20</x:f>
        <x:v>25</x:v>
      </x:c>
      <x:c r="V37" s="198" t="n">
        <x:f>'Assumptions'!$F$20</x:f>
        <x:v>25</x:v>
      </x:c>
      <x:c r="W37" s="198" t="n">
        <x:f>'Assumptions'!$F$20</x:f>
        <x:v>25</x:v>
      </x:c>
      <x:c r="X37" s="198" t="n">
        <x:f>'Assumptions'!$F$20</x:f>
        <x:v>25</x:v>
      </x:c>
      <x:c r="Y37" s="198" t="n">
        <x:f>'Assumptions'!$F$20</x:f>
        <x:v>25</x:v>
      </x:c>
      <x:c r="Z37" s="198" t="n">
        <x:f>'Assumptions'!$F$20</x:f>
        <x:v>25</x:v>
      </x:c>
      <x:c r="AA37" s="198" t="n">
        <x:f>'Assumptions'!$F$20</x:f>
        <x:v>25</x:v>
      </x:c>
      <x:c r="AB37" s="198" t="n">
        <x:f>'Assumptions'!$F$20</x:f>
        <x:v>25</x:v>
      </x:c>
      <x:c r="AC37" s="198" t="n">
        <x:f>'Assumptions'!$F$20</x:f>
        <x:v>25</x:v>
      </x:c>
      <x:c r="AD37" s="198" t="n">
        <x:f>'Assumptions'!$F$20</x:f>
        <x:v>25</x:v>
      </x:c>
      <x:c r="AE37" s="198" t="n">
        <x:f>'Assumptions'!$F$20</x:f>
        <x:v>25</x:v>
      </x:c>
      <x:c r="AF37" s="198" t="n">
        <x:f>'Assumptions'!$F$20</x:f>
        <x:v>25</x:v>
      </x:c>
      <x:c r="AG37" s="198" t="n">
        <x:f>'Assumptions'!$F$20</x:f>
        <x:v>25</x:v>
      </x:c>
      <x:c r="AH37" s="198" t="n">
        <x:f>'Assumptions'!$F$20</x:f>
        <x:v>25</x:v>
      </x:c>
      <x:c r="AI37" s="198" t="n">
        <x:f>'Assumptions'!$F$20</x:f>
        <x:v>25</x:v>
      </x:c>
      <x:c r="AJ37" s="198" t="n">
        <x:f>'Assumptions'!$F$20</x:f>
        <x:v>25</x:v>
      </x:c>
      <x:c r="AK37" s="198" t="n">
        <x:f>'Assumptions'!$F$20</x:f>
        <x:v>25</x:v>
      </x:c>
    </x:row>
    <x:row r="38">
      <x:c r="A38" s="134" t="str">
        <x:v>Total AI reports</x:v>
      </x:c>
      <x:c r="B38" s="200" t="n">
        <x:f>B16*B36+B25*B37</x:f>
        <x:v>44.4</x:v>
      </x:c>
      <x:c r="C38" s="200" t="n">
        <x:f>C16*C36+C25*C37</x:f>
        <x:v>91.16400000000002</x:v>
      </x:c>
      <x:c r="D38" s="200" t="n">
        <x:f>D16*D36+D25*D37</x:f>
        <x:v>140.59452000000002</x:v>
      </x:c>
      <x:c r="E38" s="200" t="n">
        <x:f>E16*E36+E25*E37</x:f>
        <x:v>193.02058200000005</x:v>
      </x:c>
      <x:c r="F38" s="200" t="n">
        <x:f>F16*F36+F25*F37</x:f>
        <x:v>248.80066316400007</x:v>
      </x:c>
      <x:c r="G38" s="200" t="n">
        <x:f>G16*G36+G25*G37</x:f>
        <x:v>308.32595542524007</x:v>
      </x:c>
      <x:c r="H38" s="200" t="n">
        <x:f>H16*H36+H25*H37</x:f>
        <x:v>372.0239661475453</x:v>
      </x:c>
      <x:c r="I38" s="200" t="n">
        <x:f>I16*I36+I25*I37</x:f>
        <x:v>440.3624983414399</x:v>
      </x:c>
      <x:c r="J38" s="200" t="n">
        <x:f>J16*J36+J25*J37</x:f>
        <x:v>513.8540532676896</x:v>
      </x:c>
      <x:c r="K38" s="200" t="n">
        <x:f>K16*K36+K25*K37</x:f>
        <x:v>593.0607030975427</x:v>
      </x:c>
      <x:c r="L38" s="200" t="n">
        <x:f>L16*L36+L25*L37</x:f>
        <x:v>678.5994866967584</x:v>
      </x:c>
      <x:c r="M38" s="200" t="n">
        <x:f>M16*M36+M25*M37</x:f>
        <x:v>771.1483876250383</x:v>
      </x:c>
      <x:c r="N38" s="200" t="n">
        <x:f>N16*N36+N25*N37</x:f>
        <x:v>871.4529601669747</x:v>
      </x:c>
      <x:c r="O38" s="200" t="n">
        <x:f>O16*O36+O25*O37</x:f>
        <x:v>980.3336767169526</x:v>
      </x:c>
      <x:c r="P38" s="200" t="n">
        <x:f>P16*P36+P25*P37</x:f>
        <x:v>1098.6940782201928</x:v>
      </x:c>
      <x:c r="Q38" s="200" t="n">
        <x:f>Q16*Q36+Q25*Q37</x:f>
        <x:v>1227.529818727643</x:v>
      </x:c>
      <x:c r="R38" s="200" t="n">
        <x:f>R16*R36+R25*R37</x:f>
        <x:v>1367.9387055682544</x:v>
      </x:c>
      <x:c r="S38" s="200" t="n">
        <x:f>S16*S36+S25*S37</x:f>
        <x:v>1521.1318483062987</x:v>
      </x:c>
      <x:c r="T38" s="200" t="n">
        <x:f>T16*T36+T25*T37</x:f>
        <x:v>1688.4460426770302</x:v>
      </x:c>
      <x:c r="U38" s="200" t="n">
        <x:f>U16*U36+U25*U37</x:f>
        <x:v>1871.3575302412673</x:v>
      </x:c>
      <x:c r="V38" s="200" t="n">
        <x:f>V16*V36+V25*V37</x:f>
        <x:v>2071.497290747524</x:v>
      </x:c>
      <x:c r="W38" s="200" t="n">
        <x:f>W16*W36+W25*W37</x:f>
        <x:v>2290.6680423394237</x:v>
      </x:c>
      <x:c r="X38" s="200" t="n">
        <x:f>X16*X36+X25*X37</x:f>
        <x:v>2530.8631450204584</x:v>
      </x:c>
      <x:c r="Y38" s="200" t="n">
        <x:f>Y16*Y36+Y25*Y37</x:f>
        <x:v>2794.28762543825</x:v>
      </x:c>
      <x:c r="Z38" s="200" t="n">
        <x:f>Z16*Z36+Z25*Z37</x:f>
        <x:v>3083.381566356862</x:v>
      </x:c>
      <x:c r="AA38" s="200" t="n">
        <x:f>AA16*AA36+AA25*AA37</x:f>
        <x:v>3400.8461324619448</x:v>
      </x:c>
      <x:c r="AB38" s="200" t="n">
        <x:f>AB16*AB36+AB25*AB37</x:f>
        <x:v>3749.672535740596</x:v>
      </x:c>
      <x:c r="AC38" s="200" t="n">
        <x:f>AC16*AC36+AC25*AC37</x:f>
        <x:v>4133.174278988339</x:v>
      </x:c>
      <x:c r="AD38" s="200" t="n">
        <x:f>AD16*AD36+AD25*AD37</x:f>
        <x:v>4555.023055458763</x:v>
      </x:c>
      <x:c r="AE38" s="200" t="n">
        <x:f>AE16*AE36+AE25*AE37</x:f>
        <x:v>5019.288726778727</x:v>
      </x:c>
      <x:c r="AF38" s="200" t="n">
        <x:f>AF16*AF36+AF25*AF37</x:f>
        <x:v>5530.483850553303</x:v>
      </x:c>
      <x:c r="AG38" s="200" t="n">
        <x:f>AG16*AG36+AG25*AG37</x:f>
        <x:v>6093.613284195242</x:v>
      </x:c>
      <x:c r="AH38" s="200" t="n">
        <x:f>AH16*AH36+AH25*AH37</x:f>
        <x:v>6714.229453122156</x:v>
      </x:c>
      <x:c r="AI38" s="200" t="n">
        <x:f>AI16*AI36+AI25*AI37</x:f>
        <x:v>7398.493940341137</x:v>
      </x:c>
      <x:c r="AJ38" s="200" t="n">
        <x:f>AJ16*AJ36+AJ25*AJ37</x:f>
        <x:v>8153.2461314474485</x:v>
      </x:c>
      <x:c r="AK38" s="200" t="n">
        <x:f>AK16*AK36+AK25*AK37</x:f>
        <x:v>8986.079735165864</x:v>
      </x:c>
    </x:row>
    <x:row r="39">
      <x:c r="A39" s="134" t="str">
        <x:v>AI cost per report</x:v>
      </x:c>
      <x:c r="B39" s="207" t="n">
        <x:f>'Assumptions'!$F$21</x:f>
        <x:v>0.85</x:v>
      </x:c>
      <x:c r="C39" s="207" t="n">
        <x:f>'Assumptions'!$F$21</x:f>
        <x:v>0.85</x:v>
      </x:c>
      <x:c r="D39" s="207" t="n">
        <x:f>'Assumptions'!$F$21</x:f>
        <x:v>0.85</x:v>
      </x:c>
      <x:c r="E39" s="207" t="n">
        <x:f>'Assumptions'!$F$21</x:f>
        <x:v>0.85</x:v>
      </x:c>
      <x:c r="F39" s="207" t="n">
        <x:f>'Assumptions'!$F$21</x:f>
        <x:v>0.85</x:v>
      </x:c>
      <x:c r="G39" s="207" t="n">
        <x:f>'Assumptions'!$F$21</x:f>
        <x:v>0.85</x:v>
      </x:c>
      <x:c r="H39" s="207" t="n">
        <x:f>'Assumptions'!$F$21</x:f>
        <x:v>0.85</x:v>
      </x:c>
      <x:c r="I39" s="207" t="n">
        <x:f>'Assumptions'!$F$21</x:f>
        <x:v>0.85</x:v>
      </x:c>
      <x:c r="J39" s="207" t="n">
        <x:f>'Assumptions'!$F$21</x:f>
        <x:v>0.85</x:v>
      </x:c>
      <x:c r="K39" s="207" t="n">
        <x:f>'Assumptions'!$F$21</x:f>
        <x:v>0.85</x:v>
      </x:c>
      <x:c r="L39" s="207" t="n">
        <x:f>'Assumptions'!$F$21</x:f>
        <x:v>0.85</x:v>
      </x:c>
      <x:c r="M39" s="207" t="n">
        <x:f>'Assumptions'!$F$21</x:f>
        <x:v>0.85</x:v>
      </x:c>
      <x:c r="N39" s="207" t="n">
        <x:f>'Assumptions'!$F$21</x:f>
        <x:v>0.85</x:v>
      </x:c>
      <x:c r="O39" s="207" t="n">
        <x:f>'Assumptions'!$F$21</x:f>
        <x:v>0.85</x:v>
      </x:c>
      <x:c r="P39" s="207" t="n">
        <x:f>'Assumptions'!$F$21</x:f>
        <x:v>0.85</x:v>
      </x:c>
      <x:c r="Q39" s="207" t="n">
        <x:f>'Assumptions'!$F$21</x:f>
        <x:v>0.85</x:v>
      </x:c>
      <x:c r="R39" s="207" t="n">
        <x:f>'Assumptions'!$F$21</x:f>
        <x:v>0.85</x:v>
      </x:c>
      <x:c r="S39" s="207" t="n">
        <x:f>'Assumptions'!$F$21</x:f>
        <x:v>0.85</x:v>
      </x:c>
      <x:c r="T39" s="207" t="n">
        <x:f>'Assumptions'!$F$21</x:f>
        <x:v>0.85</x:v>
      </x:c>
      <x:c r="U39" s="207" t="n">
        <x:f>'Assumptions'!$F$21</x:f>
        <x:v>0.85</x:v>
      </x:c>
      <x:c r="V39" s="207" t="n">
        <x:f>'Assumptions'!$F$21</x:f>
        <x:v>0.85</x:v>
      </x:c>
      <x:c r="W39" s="207" t="n">
        <x:f>'Assumptions'!$F$21</x:f>
        <x:v>0.85</x:v>
      </x:c>
      <x:c r="X39" s="207" t="n">
        <x:f>'Assumptions'!$F$21</x:f>
        <x:v>0.85</x:v>
      </x:c>
      <x:c r="Y39" s="207" t="n">
        <x:f>'Assumptions'!$F$21</x:f>
        <x:v>0.85</x:v>
      </x:c>
      <x:c r="Z39" s="207" t="n">
        <x:f>'Assumptions'!$F$21</x:f>
        <x:v>0.85</x:v>
      </x:c>
      <x:c r="AA39" s="207" t="n">
        <x:f>'Assumptions'!$F$21</x:f>
        <x:v>0.85</x:v>
      </x:c>
      <x:c r="AB39" s="207" t="n">
        <x:f>'Assumptions'!$F$21</x:f>
        <x:v>0.85</x:v>
      </x:c>
      <x:c r="AC39" s="207" t="n">
        <x:f>'Assumptions'!$F$21</x:f>
        <x:v>0.85</x:v>
      </x:c>
      <x:c r="AD39" s="207" t="n">
        <x:f>'Assumptions'!$F$21</x:f>
        <x:v>0.85</x:v>
      </x:c>
      <x:c r="AE39" s="207" t="n">
        <x:f>'Assumptions'!$F$21</x:f>
        <x:v>0.85</x:v>
      </x:c>
      <x:c r="AF39" s="207" t="n">
        <x:f>'Assumptions'!$F$21</x:f>
        <x:v>0.85</x:v>
      </x:c>
      <x:c r="AG39" s="207" t="n">
        <x:f>'Assumptions'!$F$21</x:f>
        <x:v>0.85</x:v>
      </x:c>
      <x:c r="AH39" s="207" t="n">
        <x:f>'Assumptions'!$F$21</x:f>
        <x:v>0.85</x:v>
      </x:c>
      <x:c r="AI39" s="207" t="n">
        <x:f>'Assumptions'!$F$21</x:f>
        <x:v>0.85</x:v>
      </x:c>
      <x:c r="AJ39" s="207" t="n">
        <x:f>'Assumptions'!$F$21</x:f>
        <x:v>0.85</x:v>
      </x:c>
      <x:c r="AK39" s="207" t="n">
        <x:f>'Assumptions'!$F$21</x:f>
        <x:v>0.85</x:v>
      </x:c>
    </x:row>
    <x:row r="40">
      <x:c r="A40" s="134" t="str">
        <x:v>AI processing cost</x:v>
      </x:c>
      <x:c r="B40" s="204" t="n">
        <x:f>B38*B39</x:f>
        <x:v>37.739999999999995</x:v>
      </x:c>
      <x:c r="C40" s="204" t="n">
        <x:f>C38*C39</x:f>
        <x:v>77.48940000000002</x:v>
      </x:c>
      <x:c r="D40" s="204" t="n">
        <x:f>D38*D39</x:f>
        <x:v>119.50534200000001</x:v>
      </x:c>
      <x:c r="E40" s="204" t="n">
        <x:f>E38*E39</x:f>
        <x:v>164.06749470000003</x:v>
      </x:c>
      <x:c r="F40" s="204" t="n">
        <x:f>F38*F39</x:f>
        <x:v>211.48056368940004</x:v>
      </x:c>
      <x:c r="G40" s="204" t="n">
        <x:f>G38*G39</x:f>
        <x:v>262.07706211145404</x:v>
      </x:c>
      <x:c r="H40" s="204" t="n">
        <x:f>H38*H39</x:f>
        <x:v>316.2203712254135</x:v>
      </x:c>
      <x:c r="I40" s="204" t="n">
        <x:f>I38*I39</x:f>
        <x:v>374.3081235902239</x:v>
      </x:c>
      <x:c r="J40" s="204" t="n">
        <x:f>J38*J39</x:f>
        <x:v>436.7759452775361</x:v>
      </x:c>
      <x:c r="K40" s="204" t="n">
        <x:f>K38*K39</x:f>
        <x:v>504.1015976329113</x:v>
      </x:c>
      <x:c r="L40" s="204" t="n">
        <x:f>L38*L39</x:f>
        <x:v>576.8095636922446</x:v>
      </x:c>
      <x:c r="M40" s="204" t="n">
        <x:f>M38*M39</x:f>
        <x:v>655.4761294812824</x:v>
      </x:c>
      <x:c r="N40" s="204" t="n">
        <x:f>N38*N39</x:f>
        <x:v>740.7350161419284</x:v>
      </x:c>
      <x:c r="O40" s="204" t="n">
        <x:f>O38*O39</x:f>
        <x:v>833.2836252094097</x:v>
      </x:c>
      <x:c r="P40" s="204" t="n">
        <x:f>P38*P39</x:f>
        <x:v>933.8899664871639</x:v>
      </x:c>
      <x:c r="Q40" s="204" t="n">
        <x:f>Q38*Q39</x:f>
        <x:v>1043.4003459184964</x:v>
      </x:c>
      <x:c r="R40" s="204" t="n">
        <x:f>R38*R39</x:f>
        <x:v>1162.747899733016</x:v>
      </x:c>
      <x:c r="S40" s="204" t="n">
        <x:f>S38*S39</x:f>
        <x:v>1292.9620710603538</x:v>
      </x:c>
      <x:c r="T40" s="204" t="n">
        <x:f>T38*T39</x:f>
        <x:v>1435.1791362754757</x:v>
      </x:c>
      <x:c r="U40" s="204" t="n">
        <x:f>U38*U39</x:f>
        <x:v>1590.6539007050771</x:v>
      </x:c>
      <x:c r="V40" s="204" t="n">
        <x:f>V38*V39</x:f>
        <x:v>1760.7726971353952</x:v>
      </x:c>
      <x:c r="W40" s="204" t="n">
        <x:f>W38*W39</x:f>
        <x:v>1947.06783598851</x:v>
      </x:c>
      <x:c r="X40" s="204" t="n">
        <x:f>X38*X39</x:f>
        <x:v>2151.23367326739</x:v>
      </x:c>
      <x:c r="Y40" s="204" t="n">
        <x:f>Y38*Y39</x:f>
        <x:v>2375.1444816225126</x:v>
      </x:c>
      <x:c r="Z40" s="204" t="n">
        <x:f>Z38*Z39</x:f>
        <x:v>2620.8743314033327</x:v>
      </x:c>
      <x:c r="AA40" s="204" t="n">
        <x:f>AA38*AA39</x:f>
        <x:v>2890.719212592653</x:v>
      </x:c>
      <x:c r="AB40" s="204" t="n">
        <x:f>AB38*AB39</x:f>
        <x:v>3187.2216553795065</x:v>
      </x:c>
      <x:c r="AC40" s="204" t="n">
        <x:f>AC38*AC39</x:f>
        <x:v>3513.1981371400884</x:v>
      </x:c>
      <x:c r="AD40" s="204" t="n">
        <x:f>AD38*AD39</x:f>
        <x:v>3871.769597139949</x:v>
      </x:c>
      <x:c r="AE40" s="204" t="n">
        <x:f>AE38*AE39</x:f>
        <x:v>4266.395417761918</x:v>
      </x:c>
      <x:c r="AF40" s="204" t="n">
        <x:f>AF38*AF39</x:f>
        <x:v>4700.911272970307</x:v>
      </x:c>
      <x:c r="AG40" s="204" t="n">
        <x:f>AG38*AG39</x:f>
        <x:v>5179.571291565956</x:v>
      </x:c>
      <x:c r="AH40" s="204" t="n">
        <x:f>AH38*AH39</x:f>
        <x:v>5707.095035153832</x:v>
      </x:c>
      <x:c r="AI40" s="204" t="n">
        <x:f>AI38*AI39</x:f>
        <x:v>6288.719849289966</x:v>
      </x:c>
      <x:c r="AJ40" s="204" t="n">
        <x:f>AJ38*AJ39</x:f>
        <x:v>6930.259211730331</x:v>
      </x:c>
      <x:c r="AK40" s="204" t="n">
        <x:f>AK38*AK39</x:f>
        <x:v>7638.167774890984</x:v>
      </x:c>
    </x:row>
    <x:row r="41">
      <x:c r="A41" s="134" t="str">
        <x:v>Payment processing rate</x:v>
      </x:c>
      <x:c r="B41" s="199" t="n">
        <x:f>'Assumptions'!$F$23</x:f>
        <x:v>0.029</x:v>
      </x:c>
      <x:c r="C41" s="199" t="n">
        <x:f>'Assumptions'!$F$23</x:f>
        <x:v>0.029</x:v>
      </x:c>
      <x:c r="D41" s="199" t="n">
        <x:f>'Assumptions'!$F$23</x:f>
        <x:v>0.029</x:v>
      </x:c>
      <x:c r="E41" s="199" t="n">
        <x:f>'Assumptions'!$F$23</x:f>
        <x:v>0.029</x:v>
      </x:c>
      <x:c r="F41" s="199" t="n">
        <x:f>'Assumptions'!$F$23</x:f>
        <x:v>0.029</x:v>
      </x:c>
      <x:c r="G41" s="199" t="n">
        <x:f>'Assumptions'!$F$23</x:f>
        <x:v>0.029</x:v>
      </x:c>
      <x:c r="H41" s="199" t="n">
        <x:f>'Assumptions'!$F$23</x:f>
        <x:v>0.029</x:v>
      </x:c>
      <x:c r="I41" s="199" t="n">
        <x:f>'Assumptions'!$F$23</x:f>
        <x:v>0.029</x:v>
      </x:c>
      <x:c r="J41" s="199" t="n">
        <x:f>'Assumptions'!$F$23</x:f>
        <x:v>0.029</x:v>
      </x:c>
      <x:c r="K41" s="199" t="n">
        <x:f>'Assumptions'!$F$23</x:f>
        <x:v>0.029</x:v>
      </x:c>
      <x:c r="L41" s="199" t="n">
        <x:f>'Assumptions'!$F$23</x:f>
        <x:v>0.029</x:v>
      </x:c>
      <x:c r="M41" s="199" t="n">
        <x:f>'Assumptions'!$F$23</x:f>
        <x:v>0.029</x:v>
      </x:c>
      <x:c r="N41" s="199" t="n">
        <x:f>'Assumptions'!$F$23</x:f>
        <x:v>0.029</x:v>
      </x:c>
      <x:c r="O41" s="199" t="n">
        <x:f>'Assumptions'!$F$23</x:f>
        <x:v>0.029</x:v>
      </x:c>
      <x:c r="P41" s="199" t="n">
        <x:f>'Assumptions'!$F$23</x:f>
        <x:v>0.029</x:v>
      </x:c>
      <x:c r="Q41" s="199" t="n">
        <x:f>'Assumptions'!$F$23</x:f>
        <x:v>0.029</x:v>
      </x:c>
      <x:c r="R41" s="199" t="n">
        <x:f>'Assumptions'!$F$23</x:f>
        <x:v>0.029</x:v>
      </x:c>
      <x:c r="S41" s="199" t="n">
        <x:f>'Assumptions'!$F$23</x:f>
        <x:v>0.029</x:v>
      </x:c>
      <x:c r="T41" s="199" t="n">
        <x:f>'Assumptions'!$F$23</x:f>
        <x:v>0.029</x:v>
      </x:c>
      <x:c r="U41" s="199" t="n">
        <x:f>'Assumptions'!$F$23</x:f>
        <x:v>0.029</x:v>
      </x:c>
      <x:c r="V41" s="199" t="n">
        <x:f>'Assumptions'!$F$23</x:f>
        <x:v>0.029</x:v>
      </x:c>
      <x:c r="W41" s="199" t="n">
        <x:f>'Assumptions'!$F$23</x:f>
        <x:v>0.029</x:v>
      </x:c>
      <x:c r="X41" s="199" t="n">
        <x:f>'Assumptions'!$F$23</x:f>
        <x:v>0.029</x:v>
      </x:c>
      <x:c r="Y41" s="199" t="n">
        <x:f>'Assumptions'!$F$23</x:f>
        <x:v>0.029</x:v>
      </x:c>
      <x:c r="Z41" s="199" t="n">
        <x:f>'Assumptions'!$F$23</x:f>
        <x:v>0.029</x:v>
      </x:c>
      <x:c r="AA41" s="199" t="n">
        <x:f>'Assumptions'!$F$23</x:f>
        <x:v>0.029</x:v>
      </x:c>
      <x:c r="AB41" s="199" t="n">
        <x:f>'Assumptions'!$F$23</x:f>
        <x:v>0.029</x:v>
      </x:c>
      <x:c r="AC41" s="199" t="n">
        <x:f>'Assumptions'!$F$23</x:f>
        <x:v>0.029</x:v>
      </x:c>
      <x:c r="AD41" s="199" t="n">
        <x:f>'Assumptions'!$F$23</x:f>
        <x:v>0.029</x:v>
      </x:c>
      <x:c r="AE41" s="199" t="n">
        <x:f>'Assumptions'!$F$23</x:f>
        <x:v>0.029</x:v>
      </x:c>
      <x:c r="AF41" s="199" t="n">
        <x:f>'Assumptions'!$F$23</x:f>
        <x:v>0.029</x:v>
      </x:c>
      <x:c r="AG41" s="199" t="n">
        <x:f>'Assumptions'!$F$23</x:f>
        <x:v>0.029</x:v>
      </x:c>
      <x:c r="AH41" s="199" t="n">
        <x:f>'Assumptions'!$F$23</x:f>
        <x:v>0.029</x:v>
      </x:c>
      <x:c r="AI41" s="199" t="n">
        <x:f>'Assumptions'!$F$23</x:f>
        <x:v>0.029</x:v>
      </x:c>
      <x:c r="AJ41" s="199" t="n">
        <x:f>'Assumptions'!$F$23</x:f>
        <x:v>0.029</x:v>
      </x:c>
      <x:c r="AK41" s="199" t="n">
        <x:f>'Assumptions'!$F$23</x:f>
        <x:v>0.029</x:v>
      </x:c>
    </x:row>
    <x:row r="42">
      <x:c r="A42" s="134" t="str">
        <x:v>Payment fees</x:v>
      </x:c>
      <x:c r="B42" s="204" t="n">
        <x:f>B32*B41</x:f>
        <x:v>15.346800000000002</x:v>
      </x:c>
      <x:c r="C42" s="204" t="n">
        <x:f>C32*C41</x:f>
        <x:v>31.527756000000007</x:v>
      </x:c>
      <x:c r="D42" s="204" t="n">
        <x:f>D32*D41</x:f>
        <x:v>48.657488760000014</x:v>
      </x:c>
      <x:c r="E42" s="204" t="n">
        <x:f>E32*E41</x:f>
        <x:v>66.86099796600001</x:v>
      </x:c>
      <x:c r="F42" s="204" t="n">
        <x:f>F32*F41</x:f>
        <x:v>86.27487480154804</x:v>
      </x:c>
      <x:c r="G42" s="204" t="n">
        <x:f>G32*G41</x:f>
        <x:v>107.04864421999119</x:v>
      </x:c>
      <x:c r="H42" s="204" t="n">
        <x:f>H32*H41</x:f>
        <x:v>129.3462519758543</x:v>
      </x:c>
      <x:c r="I42" s="204" t="n">
        <x:f>I32*I41</x:f>
        <x:v>153.34771319573696</x:v>
      </x:c>
      <x:c r="J42" s="204" t="n">
        <x:f>J32*J41</x:f>
        <x:v>179.25094119356825</x:v>
      </x:c>
      <x:c r="K42" s="204" t="n">
        <x:f>K32*K41</x:f>
        <x:v>207.273777385791</x:v>
      </x:c>
      <x:c r="L42" s="204" t="n">
        <x:f>L32*L41</x:f>
        <x:v>237.65624556570208</x:v>
      </x:c>
      <x:c r="M42" s="204" t="n">
        <x:f>M32*M41</x:f>
        <x:v>270.66305648254917</x:v>
      </x:c>
      <x:c r="N42" s="204" t="n">
        <x:f>N32*N41</x:f>
        <x:v>306.5863916734113</x:v>
      </x:c>
      <x:c r="O42" s="204" t="n">
        <x:f>O32*O41</x:f>
        <x:v>345.74899885167395</x:v>
      </x:c>
      <x:c r="P42" s="204" t="n">
        <x:f>P32*P41</x:f>
        <x:v>388.5076349067779</x:v>
      </x:c>
      <x:c r="Q42" s="204" t="n">
        <x:f>Q32*Q41</x:f>
        <x:v>435.2568967625675</x:v>
      </x:c>
      <x:c r="R42" s="204" t="n">
        <x:f>R32*R41</x:f>
        <x:v>486.4334850282306</x:v>
      </x:c>
      <x:c r="S42" s="204" t="n">
        <x:f>S32*S41</x:f>
        <x:v>542.5209506149789</x:v>
      </x:c>
      <x:c r="T42" s="204" t="n">
        <x:f>T32*T41</x:f>
        <x:v>604.0549803486555</x:v>
      </x:c>
      <x:c r="U42" s="204" t="n">
        <x:f>U32*U41</x:f>
        <x:v>671.629284156604</x:v>
      </x:c>
      <x:c r="V42" s="204" t="n">
        <x:f>V32*V41</x:f>
        <x:v>745.9021537282678</x:v>
      </x:c>
      <x:c r="W42" s="204" t="n">
        <x:f>W32*W41</x:f>
        <x:v>827.6037707348074</x:v>
      </x:c>
      <x:c r="X42" s="204" t="n">
        <x:f>X32*X41</x:f>
        <x:v>917.5443518460722</x:v>
      </x:c>
      <x:c r="Y42" s="204" t="n">
        <x:f>Y32*Y41</x:f>
        <x:v>1016.6232280183697</x:v>
      </x:c>
      <x:c r="Z42" s="204" t="n">
        <x:f>Z32*Z41</x:f>
        <x:v>1125.8389669721057</x:v>
      </x:c>
      <x:c r="AA42" s="204" t="n">
        <x:f>AA32*AA41</x:f>
        <x:v>1246.3006605782948</x:v>
      </x:c>
      <x:c r="AB42" s="204" t="n">
        <x:f>AB32*AB41</x:f>
        <x:v>1379.2405131881296</x:v>
      </x:c>
      <x:c r="AC42" s="204" t="n">
        <x:f>AC32*AC41</x:f>
        <x:v>1526.0278829503284</x:v>
      </x:c>
      <x:c r="AD42" s="204" t="n">
        <x:f>AD32*AD41</x:f>
        <x:v>1688.1849460684643</x:v>
      </x:c>
      <x:c r="AE42" s="204" t="n">
        <x:f>AE32*AE41</x:f>
        <x:v>1867.4041739805791</x:v>
      </x:c>
      <x:c r="AF42" s="204" t="n">
        <x:f>AF32*AF41</x:f>
        <x:v>2065.5678358486216</x:v>
      </x:c>
      <x:c r="AG42" s="204" t="n">
        <x:f>AG32*AG41</x:f>
        <x:v>2284.769763808365</x:v>
      </x:c>
      <x:c r="AH42" s="204" t="n">
        <x:f>AH32*AH41</x:f>
        <x:v>2527.3396464678917</x:v>
      </x:c>
      <x:c r="AI42" s="204" t="n">
        <x:f>AI32*AI41</x:f>
        <x:v>2795.87014750867</x:v>
      </x:c>
      <x:c r="AJ42" s="204" t="n">
        <x:f>AJ32*AJ41</x:f>
        <x:v>3093.247181334254</x:v>
      </x:c>
      <x:c r="AK42" s="204" t="n">
        <x:f>AK32*AK41</x:f>
        <x:v>3422.6837169715236</x:v>
      </x:c>
    </x:row>
    <x:row r="43">
      <x:c r="A43" s="134" t="str">
        <x:v>Hosting &amp; storage</x:v>
      </x:c>
      <x:c r="B43" s="203" t="n">
        <x:f>(B16+B25)*'Assumptions'!$F$22</x:f>
        <x:v>4.859999999999999</x:v>
      </x:c>
      <x:c r="C43" s="203" t="n">
        <x:f>(C16+C25)*'Assumptions'!$F$22</x:f>
        <x:v>10.0062</x:v>
      </x:c>
      <x:c r="D43" s="203" t="n">
        <x:f>(D16+D25)*'Assumptions'!$F$22</x:f>
        <x:v>15.487902000000002</x:v>
      </x:c>
      <x:c r="E43" s="203" t="n">
        <x:f>(E16+E25)*'Assumptions'!$F$22</x:f>
        <x:v>21.359270700000003</x:v>
      </x:c>
      <x:c r="F43" s="203" t="n">
        <x:f>(F16+F25)*'Assumptions'!$F$22</x:f>
        <x:v>27.679965564600003</x:v>
      </x:c>
      <x:c r="G43" s="203" t="n">
        <x:f>(G16+G25)*'Assumptions'!$F$22</x:f>
        <x:v>34.51584471478201</x:v>
      </x:c>
      <x:c r="H43" s="203" t="n">
        <x:f>(H16+H25)*'Assumptions'!$F$22</x:f>
        <x:v>41.939749416751035</x:v>
      </x:c>
      <x:c r="I43" s="203" t="n">
        <x:f>(I16+I25)*'Assumptions'!$F$22</x:f>
        <x:v>50.03237897387004</x:v>
      </x:c>
      <x:c r="J43" s="203" t="n">
        <x:f>(J16+J25)*'Assumptions'!$F$22</x:f>
        <x:v>58.88326698861705</x:v>
      </x:c>
      <x:c r="K43" s="203" t="n">
        <x:f>(K16+K25)*'Assumptions'!$F$22</x:f>
        <x:v>68.59187126202022</x:v>
      </x:c>
      <x:c r="L43" s="203" t="n">
        <x:f>(L16+L25)*'Assumptions'!$F$22</x:f>
        <x:v>79.26879105487441</x:v>
      </x:c>
      <x:c r="M43" s="203" t="n">
        <x:f>(M16+M25)*'Assumptions'!$F$22</x:f>
        <x:v>91.03712706690096</x:v>
      </x:c>
      <x:c r="N43" s="203" t="n">
        <x:f>(N16+N25)*'Assumptions'!$F$22</x:f>
        <x:v>104.03400131781157</x:v>
      </x:c>
      <x:c r="O43" s="203" t="n">
        <x:f>(O16+O25)*'Assumptions'!$F$22</x:f>
        <x:v>118.41225616142178</x:v>
      </x:c>
      <x:c r="P43" s="203" t="n">
        <x:f>(P16+P25)*'Assumptions'!$F$22</x:f>
        <x:v>134.34235395678394</x:v>
      </x:c>
      <x:c r="Q43" s="203" t="n">
        <x:f>(Q16+Q25)*'Assumptions'!$F$22</x:f>
        <x:v>152.01450148817983</x:v>
      </x:c>
      <x:c r="R43" s="203" t="n">
        <x:f>(R16+R25)*'Assumptions'!$F$22</x:f>
        <x:v>171.64102610165983</x:v>
      </x:c>
      <x:c r="S43" s="203" t="n">
        <x:f>(S16+S25)*'Assumptions'!$F$22</x:f>
        <x:v>193.45903374652235</x:v>
      </x:c>
      <x:c r="T43" s="203" t="n">
        <x:f>(T16+T25)*'Assumptions'!$F$22</x:f>
        <x:v>217.73338271699825</x:v>
      </x:c>
      <x:c r="U43" s="203" t="n">
        <x:f>(U16+U25)*'Assumptions'!$F$22</x:f>
        <x:v>244.7600109286998</x:v>
      </x:c>
      <x:c r="V43" s="203" t="n">
        <x:f>(V16+V25)*'Assumptions'!$F$22</x:f>
        <x:v>274.86965908792195</x:v>
      </x:c>
      <x:c r="W43" s="203" t="n">
        <x:f>(W16+W25)*'Assumptions'!$F$22</x:f>
        <x:v>308.4320371776596</x:v>
      </x:c>
      <x:c r="X43" s="203" t="n">
        <x:f>(X16+X25)*'Assumptions'!$F$22</x:f>
        <x:v>345.86048735721886</x:v>
      </x:c>
      <x:c r="Y43" s="203" t="n">
        <x:f>(Y16+Y25)*'Assumptions'!$F$22</x:f>
        <x:v>387.6172027253097</x:v>
      </x:c>
      <x:c r="Z43" s="203" t="n">
        <x:f>(Z16+Z25)*'Assumptions'!$F$22</x:f>
        <x:v>434.21906851102693</x:v>
      </x:c>
      <x:c r="AA43" s="203" t="n">
        <x:f>(AA16+AA25)*'Assumptions'!$F$22</x:f>
        <x:v>486.244200224417</x:v>
      </x:c>
      <x:c r="AB43" s="203" t="n">
        <x:f>(AB16+AB25)*'Assumptions'!$F$22</x:f>
        <x:v>544.3392622206206</x:v>
      </x:c>
      <x:c r="AC43" s="203" t="n">
        <x:f>(AC16+AC25)*'Assumptions'!$F$22</x:f>
        <x:v>609.2276601233481</x:v>
      </x:c>
      <x:c r="AD43" s="203" t="n">
        <x:f>(AD16+AD25)*'Assumptions'!$F$22</x:f>
        <x:v>681.7187117428964</x:v>
      </x:c>
      <x:c r="AE43" s="203" t="n">
        <x:f>(AE16+AE25)*'Assumptions'!$F$22</x:f>
        <x:v>762.7179136546524</x:v>
      </x:c>
      <x:c r="AF43" s="203" t="n">
        <x:f>(AF16+AF25)*'Assumptions'!$F$22</x:f>
        <x:v>853.2384346368327</x:v>
      </x:c>
      <x:c r="AG43" s="203" t="n">
        <x:f>(AG16+AG25)*'Assumptions'!$F$22</x:f>
        <x:v>954.4139828812027</x:v>
      </x:c>
      <x:c r="AH43" s="203" t="n">
        <x:f>(AH16+AH25)*'Assumptions'!$F$22</x:f>
        <x:v>1067.5132114893847</x:v>
      </x:c>
      <x:c r="AI43" s="203" t="n">
        <x:f>(AI16+AI25)*'Assumptions'!$F$22</x:f>
        <x:v>1193.955846475987</x:v>
      </x:c>
      <x:c r="AJ43" s="203" t="n">
        <x:f>(AJ16+AJ25)*'Assumptions'!$F$22</x:f>
        <x:v>1335.3307435711597</x:v>
      </x:c>
      <x:c r="AK43" s="203" t="n">
        <x:f>(AK16+AK25)*'Assumptions'!$F$22</x:f>
        <x:v>1493.4161048326246</x:v>
      </x:c>
    </x:row>
    <x:row r="44">
      <x:c r="A44" s="134" t="str">
        <x:v>Total cost of revenue</x:v>
      </x:c>
      <x:c r="B44" s="204" t="n">
        <x:f>SUM(B40,B42:B43)</x:f>
        <x:v>57.946799999999996</x:v>
      </x:c>
      <x:c r="C44" s="204" t="n">
        <x:f>SUM(C40,C42:C43)</x:f>
        <x:v>119.02335600000002</x:v>
      </x:c>
      <x:c r="D44" s="204" t="n">
        <x:f>SUM(D40,D42:D43)</x:f>
        <x:v>183.65073276000004</x:v>
      </x:c>
      <x:c r="E44" s="204" t="n">
        <x:f>SUM(E40,E42:E43)</x:f>
        <x:v>252.28776336600004</x:v>
      </x:c>
      <x:c r="F44" s="204" t="n">
        <x:f>SUM(F40,F42:F43)</x:f>
        <x:v>325.4354040555481</x:v>
      </x:c>
      <x:c r="G44" s="204" t="n">
        <x:f>SUM(G40,G42:G43)</x:f>
        <x:v>403.6415510462273</x:v>
      </x:c>
      <x:c r="H44" s="204" t="n">
        <x:f>SUM(H40,H42:H43)</x:f>
        <x:v>487.5063726180188</x:v>
      </x:c>
      <x:c r="I44" s="204" t="n">
        <x:f>SUM(I40,I42:I43)</x:f>
        <x:v>577.6882157598309</x:v>
      </x:c>
      <x:c r="J44" s="204" t="n">
        <x:f>SUM(J40,J42:J43)</x:f>
        <x:v>674.9101534597214</x:v>
      </x:c>
      <x:c r="K44" s="204" t="n">
        <x:f>SUM(K40,K42:K43)</x:f>
        <x:v>779.9672462807225</x:v>
      </x:c>
      <x:c r="L44" s="204" t="n">
        <x:f>SUM(L40,L42:L43)</x:f>
        <x:v>893.7346003128212</x:v>
      </x:c>
      <x:c r="M44" s="204" t="n">
        <x:f>SUM(M40,M42:M43)</x:f>
        <x:v>1017.1763130307326</x:v>
      </x:c>
      <x:c r="N44" s="204" t="n">
        <x:f>SUM(N40,N42:N43)</x:f>
        <x:v>1151.3554091331512</x:v>
      </x:c>
      <x:c r="O44" s="204" t="n">
        <x:f>SUM(O40,O42:O43)</x:f>
        <x:v>1297.4448802225054</x:v>
      </x:c>
      <x:c r="P44" s="204" t="n">
        <x:f>SUM(P40,P42:P43)</x:f>
        <x:v>1456.7399553507257</x:v>
      </x:c>
      <x:c r="Q44" s="204" t="n">
        <x:f>SUM(Q40,Q42:Q43)</x:f>
        <x:v>1630.6717441692438</x:v>
      </x:c>
      <x:c r="R44" s="204" t="n">
        <x:f>SUM(R40,R42:R43)</x:f>
        <x:v>1820.8224108629065</x:v>
      </x:c>
      <x:c r="S44" s="204" t="n">
        <x:f>SUM(S40,S42:S43)</x:f>
        <x:v>2028.942055421855</x:v>
      </x:c>
      <x:c r="T44" s="204" t="n">
        <x:f>SUM(T40,T42:T43)</x:f>
        <x:v>2256.9674993411295</x:v>
      </x:c>
      <x:c r="U44" s="204" t="n">
        <x:f>SUM(U40,U42:U43)</x:f>
        <x:v>2507.043195790381</x:v>
      </x:c>
      <x:c r="V44" s="204" t="n">
        <x:f>SUM(V40,V42:V43)</x:f>
        <x:v>2781.544509951585</x:v>
      </x:c>
      <x:c r="W44" s="204" t="n">
        <x:f>SUM(W40,W42:W43)</x:f>
        <x:v>3083.103643900977</x:v>
      </x:c>
      <x:c r="X44" s="204" t="n">
        <x:f>SUM(X40,X42:X43)</x:f>
        <x:v>3414.638512470681</x:v>
      </x:c>
      <x:c r="Y44" s="204" t="n">
        <x:f>SUM(Y40,Y42:Y43)</x:f>
        <x:v>3779.384912366192</x:v>
      </x:c>
      <x:c r="Z44" s="204" t="n">
        <x:f>SUM(Z40,Z42:Z43)</x:f>
        <x:v>4180.932366886465</x:v>
      </x:c>
      <x:c r="AA44" s="204" t="n">
        <x:f>SUM(AA40,AA42:AA43)</x:f>
        <x:v>4623.264073395365</x:v>
      </x:c>
      <x:c r="AB44" s="204" t="n">
        <x:f>SUM(AB40,AB42:AB43)</x:f>
        <x:v>5110.801430788257</x:v>
      </x:c>
      <x:c r="AC44" s="204" t="n">
        <x:f>SUM(AC40,AC42:AC43)</x:f>
        <x:v>5648.4536802137645</x:v>
      </x:c>
      <x:c r="AD44" s="204" t="n">
        <x:f>SUM(AD40,AD42:AD43)</x:f>
        <x:v>6241.67325495131</x:v>
      </x:c>
      <x:c r="AE44" s="204" t="n">
        <x:f>SUM(AE40,AE42:AE43)</x:f>
        <x:v>6896.51750539715</x:v>
      </x:c>
      <x:c r="AF44" s="204" t="n">
        <x:f>SUM(AF40,AF42:AF43)</x:f>
        <x:v>7619.717543455761</x:v>
      </x:c>
      <x:c r="AG44" s="204" t="n">
        <x:f>SUM(AG40,AG42:AG43)</x:f>
        <x:v>8418.755038255524</x:v>
      </x:c>
      <x:c r="AH44" s="204" t="n">
        <x:f>SUM(AH40,AH42:AH43)</x:f>
        <x:v>9301.947893111108</x:v>
      </x:c>
      <x:c r="AI44" s="204" t="n">
        <x:f>SUM(AI40,AI42:AI43)</x:f>
        <x:v>10278.545843274624</x:v>
      </x:c>
      <x:c r="AJ44" s="204" t="n">
        <x:f>SUM(AJ40,AJ42:AJ43)</x:f>
        <x:v>11358.837136635746</x:v>
      </x:c>
      <x:c r="AK44" s="204" t="n">
        <x:f>SUM(AK40,AK42:AK43)</x:f>
        <x:v>12554.267596695132</x:v>
      </x:c>
    </x:row>
    <x:row r="45">
      <x:c r="A45" s="150" t="str">
        <x:v>Gross profit</x:v>
      </x:c>
      <x:c r="B45" s="205" t="n">
        <x:f>B32-B44</x:f>
        <x:v>471.25320000000005</x:v>
      </x:c>
      <x:c r="C45" s="205" t="n">
        <x:f>C32-C44</x:f>
        <x:v>968.1406440000002</x:v>
      </x:c>
      <x:c r="D45" s="205" t="n">
        <x:f>D32-D44</x:f>
        <x:v>1494.1937072400003</x:v>
      </x:c>
      <x:c r="E45" s="205" t="n">
        <x:f>E32-E44</x:f>
        <x:v>2053.2638906340003</x:v>
      </x:c>
      <x:c r="F45" s="205" t="n">
        <x:f>F32-F44</x:f>
        <x:v>2649.560278756453</x:v>
      </x:c>
      <x:c r="G45" s="205" t="n">
        <x:f>G32-G44</x:f>
        <x:v>3287.6910082638133</x:v>
      </x:c>
      <x:c r="H45" s="205" t="n">
        <x:f>H32-H44</x:f>
        <x:v>3972.7092127562673</x:v>
      </x:c>
      <x:c r="I45" s="205" t="n">
        <x:f>I32-I44</x:f>
        <x:v>4710.163963403512</x:v>
      </x:c>
      <x:c r="J45" s="205" t="n">
        <x:f>J32-J44</x:f>
        <x:v>5506.156784249529</x:v>
      </x:c>
      <x:c r="K45" s="205" t="n">
        <x:f>K32-K44</x:f>
        <x:v>6367.404387712069</x:v>
      </x:c>
      <x:c r="L45" s="205" t="n">
        <x:f>L32-L44</x:f>
        <x:v>7301.308350228629</x:v>
      </x:c>
      <x:c r="M45" s="205" t="n">
        <x:f>M32-M44</x:f>
        <x:v>8316.032531195102</x:v>
      </x:c>
      <x:c r="N45" s="205" t="n">
        <x:f>N32-N44</x:f>
        <x:v>9420.589131329307</x:v>
      </x:c>
      <x:c r="O45" s="205" t="n">
        <x:f>O32-O44</x:f>
        <x:v>10624.934390524872</x:v>
      </x:c>
      <x:c r="P45" s="205" t="n">
        <x:f>P32-P44</x:f>
        <x:v>11940.075041434719</x:v>
      </x:c>
      <x:c r="Q45" s="205" t="n">
        <x:f>Q32-Q44</x:f>
        <x:v>13378.186764884807</x:v>
      </x:c>
      <x:c r="R45" s="205" t="n">
        <x:f>R32-R44</x:f>
        <x:v>14952.746038386424</x:v>
      </x:c>
      <x:c r="S45" s="205" t="n">
        <x:f>S32-S44</x:f>
        <x:v>16678.676931301554</x:v>
      </x:c>
      <x:c r="T45" s="205" t="n">
        <x:f>T32-T44</x:f>
        <x:v>18572.514581646992</x:v>
      </x:c>
      <x:c r="U45" s="205" t="n">
        <x:f>U32-U44</x:f>
        <x:v>20652.587292368375</x:v>
      </x:c>
      <x:c r="V45" s="205" t="n">
        <x:f>V32-V44</x:f>
        <x:v>22939.21941171282</x:v>
      </x:c>
      <x:c r="W45" s="205" t="n">
        <x:f>W32-W44</x:f>
        <x:v>25454.95741591997</x:v>
      </x:c>
      <x:c r="X45" s="205" t="n">
        <x:f>X32-X44</x:f>
        <x:v>28224.821896014568</x:v>
      </x:c>
      <x:c r="Y45" s="205" t="n">
        <x:f>Y32-Y44</x:f>
        <x:v>31276.58846757759</x:v>
      </x:c>
      <x:c r="Z45" s="205" t="n">
        <x:f>Z32-Z44</x:f>
        <x:v>34641.10097697924</x:v>
      </x:c>
      <x:c r="AA45" s="205" t="n">
        <x:f>AA32-AA44</x:f>
        <x:v>38352.62077413204</x:v>
      </x:c>
      <x:c r="AB45" s="205" t="n">
        <x:f>AB32-AB44</x:f>
        <x:v>42449.216265354145</x:v>
      </x:c>
      <x:c r="AC45" s="205" t="n">
        <x:f>AC32-AC44</x:f>
        <x:v>46973.19745600445</x:v>
      </x:c>
      <x:c r="AD45" s="205" t="n">
        <x:f>AD32-AD44</x:f>
        <x:v>51971.600747409524</x:v>
      </x:c>
      <x:c r="AE45" s="205" t="n">
        <x:f>AE32-AE44</x:f>
        <x:v>57496.72987324351</x:v>
      </x:c>
      <x:c r="AF45" s="205" t="n">
        <x:f>AF32-AF44</x:f>
        <x:v>63606.759554772565</x:v>
      </x:c>
      <x:c r="AG45" s="205" t="n">
        <x:f>AG32-AG44</x:f>
        <x:v>70366.40923099844</x:v>
      </x:c>
      <x:c r="AH45" s="205" t="n">
        <x:f>AH32-AH44</x:f>
        <x:v>77847.69508854032</x:v>
      </x:c>
      <x:c r="AI45" s="205" t="n">
        <x:f>AI32-AI44</x:f>
        <x:v>86130.76958805881</x:v>
      </x:c>
      <x:c r="AJ45" s="205" t="n">
        <x:f>AJ32-AJ44</x:f>
        <x:v>95304.85877144197</x:v>
      </x:c>
      <x:c r="AK45" s="205" t="n">
        <x:f>AK32-AK44</x:f>
        <x:v>105469.30885059878</x:v>
      </x:c>
    </x:row>
    <x:row r="46">
      <x:c r="A46" s="150" t="str">
        <x:v>Gross margin</x:v>
      </x:c>
      <x:c r="B46" s="208" t="n">
        <x:f>IF(B32=0,0,B45/B32)</x:f>
        <x:v>0.8905011337868481</x:v>
      </x:c>
      <x:c r="C46" s="208" t="n">
        <x:f>IF(C32=0,0,C45/C32)</x:f>
        <x:v>0.8905194101349935</x:v>
      </x:c>
      <x:c r="D46" s="208" t="n">
        <x:f>IF(D32=0,0,D45/D32)</x:f>
        <x:v>0.890543647324063</x:v>
      </x:c>
      <x:c r="E46" s="208" t="n">
        <x:f>IF(E32=0,0,E45/E32)</x:f>
        <x:v>0.8905737969790027</x:v>
      </x:c>
      <x:c r="F46" s="208" t="n">
        <x:f>IF(F32=0,0,F45/F32)</x:f>
        <x:v>0.8906097894744026</x:v>
      </x:c>
      <x:c r="G46" s="208" t="n">
        <x:f>IF(G32=0,0,G45/G32)</x:f>
        <x:v>0.8906515344903865</x:v>
      </x:c>
      <x:c r="H46" s="208" t="n">
        <x:f>IF(H32=0,0,H45/H32)</x:f>
        <x:v>0.890698921770368</x:v>
      </x:c>
      <x:c r="I46" s="208" t="n">
        <x:f>IF(I32=0,0,I45/I32)</x:f>
        <x:v>0.8907518220656399</x:v>
      </x:c>
      <x:c r="J46" s="208" t="n">
        <x:f>IF(J32=0,0,J45/J32)</x:f>
        <x:v>0.8908100882483165</x:v>
      </x:c>
      <x:c r="K46" s="208" t="n">
        <x:f>IF(K32=0,0,K45/K32)</x:f>
        <x:v>0.8908735565713121</x:v>
      </x:c>
      <x:c r="L46" s="208" t="n">
        <x:f>IF(L32=0,0,L45/L32)</x:f>
        <x:v>0.8909420480518931</x:v>
      </x:c>
      <x:c r="M46" s="208" t="n">
        <x:f>IF(M32=0,0,M45/M32)</x:f>
        <x:v>0.8910153699539224</x:v>
      </x:c>
      <x:c r="N46" s="208" t="n">
        <x:f>IF(N32=0,0,N45/N32)</x:f>
        <x:v>0.8910933173432267</x:v>
      </x:c>
      <x:c r="O46" s="208" t="n">
        <x:f>IF(O32=0,0,O45/O32)</x:f>
        <x:v>0.8911756746905458</x:v>
      </x:c>
      <x:c r="P46" s="208" t="n">
        <x:f>IF(P32=0,0,P45/P32)</x:f>
        <x:v>0.8912622174971985</x:v>
      </x:c>
      <x:c r="Q46" s="208" t="n">
        <x:f>IF(Q32=0,0,Q45/Q32)</x:f>
        <x:v>0.8913527139198797</x:v>
      </x:c>
      <x:c r="R46" s="208" t="n">
        <x:f>IF(R32=0,0,R45/R32)</x:f>
        <x:v>0.8914469263727604</x:v>
      </x:c>
      <x:c r="S46" s="208" t="n">
        <x:f>IF(S32=0,0,S45/S32)</x:f>
        <x:v>0.8915446130872254</x:v>
      </x:c>
      <x:c r="T46" s="208" t="n">
        <x:f>IF(T32=0,0,T45/T32)</x:f>
        <x:v>0.8916455296120325</x:v>
      </x:c>
      <x:c r="U46" s="208" t="n">
        <x:f>IF(U32=0,0,U45/U32)</x:f>
        <x:v>0.8917494302393035</x:v>
      </x:c>
      <x:c r="V46" s="208" t="n">
        <x:f>IF(V32=0,0,V45/V32)</x:f>
        <x:v>0.8918560693444757</x:v>
      </x:c>
      <x:c r="W46" s="208" t="n">
        <x:f>IF(W32=0,0,W45/W32)</x:f>
        <x:v>0.8919652026310325</x:v>
      </x:c>
      <x:c r="X46" s="208" t="n">
        <x:f>IF(X32=0,0,X45/X32)</x:f>
        <x:v>0.8920765882734548</x:v>
      </x:c>
      <x:c r="Y46" s="208" t="n">
        <x:f>IF(Y32=0,0,Y45/Y32)</x:f>
        <x:v>0.8921899879542796</x:v>
      </x:c>
      <x:c r="Z46" s="208" t="n">
        <x:f>IF(Z32=0,0,Z45/Z32)</x:f>
        <x:v>0.8923051677934046</x:v>
      </x:c>
      <x:c r="AA46" s="208" t="n">
        <x:f>IF(AA32=0,0,AA45/AA32)</x:f>
        <x:v>0.8924218991697768</x:v>
      </x:c>
      <x:c r="AB46" s="208" t="n">
        <x:f>IF(AB32=0,0,AB45/AB32)</x:f>
        <x:v>0.8925399594373408</x:v>
      </x:c>
      <x:c r="AC46" s="208" t="n">
        <x:f>IF(AC32=0,0,AC45/AC32)</x:f>
        <x:v>0.8926591325385822</x:v>
      </x:c>
      <x:c r="AD46" s="208" t="n">
        <x:f>IF(AD32=0,0,AD45/AD32)</x:f>
        <x:v>0.892779209520183</x:v>
      </x:c>
      <x:c r="AE46" s="208" t="n">
        <x:f>IF(AE32=0,0,AE45/AE32)</x:f>
        <x:v>0.8928999889562219</x:v>
      </x:c>
      <x:c r="AF46" s="208" t="n">
        <x:f>IF(AF32=0,0,AF45/AF32)</x:f>
        <x:v>0.8930212772850268</x:v>
      </x:c>
      <x:c r="AG46" s="208" t="n">
        <x:f>IF(AG32=0,0,AG45/AG32)</x:f>
        <x:v>0.893142889066223</x:v>
      </x:c>
      <x:c r="AH46" s="208" t="n">
        <x:f>IF(AH32=0,0,AH45/AH32)</x:f>
        <x:v>0.8932646471647675</x:v>
      </x:c>
      <x:c r="AI46" s="208" t="n">
        <x:f>IF(AI32=0,0,AI45/AI32)</x:f>
        <x:v>0.8933863828688275</x:v>
      </x:c>
      <x:c r="AJ46" s="208" t="n">
        <x:f>IF(AJ32=0,0,AJ45/AJ32)</x:f>
        <x:v>0.8935079359482843</x:v>
      </x:c>
      <x:c r="AK46" s="208" t="n">
        <x:f>IF(AK32=0,0,AK45/AK32)</x:f>
        <x:v>0.8936291546604545</x:v>
      </x:c>
    </x:row>
    <x:row r="47">
      <x:c r="A47" s="134"/>
      <x:c r="B47" s="202"/>
      <x:c r="C47" s="202"/>
      <x:c r="D47" s="202"/>
      <x:c r="E47" s="202"/>
      <x:c r="F47" s="202"/>
      <x:c r="G47" s="202"/>
      <x:c r="H47" s="202"/>
      <x:c r="I47" s="202"/>
      <x:c r="J47" s="202"/>
      <x:c r="K47" s="202"/>
      <x:c r="L47" s="202"/>
      <x:c r="M47" s="202"/>
      <x:c r="N47" s="202"/>
      <x:c r="O47" s="202"/>
      <x:c r="P47" s="202"/>
      <x:c r="Q47" s="202"/>
      <x:c r="R47" s="202"/>
      <x:c r="S47" s="202"/>
      <x:c r="T47" s="202"/>
      <x:c r="U47" s="202"/>
      <x:c r="V47" s="202"/>
      <x:c r="W47" s="202"/>
      <x:c r="X47" s="202"/>
      <x:c r="Y47" s="202"/>
      <x:c r="Z47" s="202"/>
      <x:c r="AA47" s="202"/>
      <x:c r="AB47" s="202"/>
      <x:c r="AC47" s="202"/>
      <x:c r="AD47" s="202"/>
      <x:c r="AE47" s="202"/>
      <x:c r="AF47" s="202"/>
      <x:c r="AG47" s="202"/>
      <x:c r="AH47" s="202"/>
      <x:c r="AI47" s="202"/>
      <x:c r="AJ47" s="202"/>
      <x:c r="AK47" s="202"/>
    </x:row>
    <x:row r="48">
      <x:c r="A48" s="108" t="str">
        <x:v>OPERATING EXPENSES</x:v>
      </x:c>
      <x:c r="B48" s="176" t="str">
        <x:v>OPERATING EXPENSES</x:v>
      </x:c>
      <x:c r="C48" s="176" t="str">
        <x:v>OPERATING EXPENSES</x:v>
      </x:c>
      <x:c r="D48" s="176" t="str">
        <x:v>OPERATING EXPENSES</x:v>
      </x:c>
      <x:c r="E48" s="176" t="str">
        <x:v>OPERATING EXPENSES</x:v>
      </x:c>
      <x:c r="F48" s="176" t="str">
        <x:v>OPERATING EXPENSES</x:v>
      </x:c>
      <x:c r="G48" s="176" t="str">
        <x:v>OPERATING EXPENSES</x:v>
      </x:c>
      <x:c r="H48" s="176" t="str">
        <x:v>OPERATING EXPENSES</x:v>
      </x:c>
      <x:c r="I48" s="176" t="str">
        <x:v>OPERATING EXPENSES</x:v>
      </x:c>
      <x:c r="J48" s="176" t="str">
        <x:v>OPERATING EXPENSES</x:v>
      </x:c>
      <x:c r="K48" s="176" t="str">
        <x:v>OPERATING EXPENSES</x:v>
      </x:c>
      <x:c r="L48" s="176" t="str">
        <x:v>OPERATING EXPENSES</x:v>
      </x:c>
      <x:c r="M48" s="176" t="str">
        <x:v>OPERATING EXPENSES</x:v>
      </x:c>
      <x:c r="N48" s="176" t="str">
        <x:v>OPERATING EXPENSES</x:v>
      </x:c>
      <x:c r="O48" s="176" t="str">
        <x:v>OPERATING EXPENSES</x:v>
      </x:c>
      <x:c r="P48" s="176" t="str">
        <x:v>OPERATING EXPENSES</x:v>
      </x:c>
      <x:c r="Q48" s="176" t="str">
        <x:v>OPERATING EXPENSES</x:v>
      </x:c>
      <x:c r="R48" s="176" t="str">
        <x:v>OPERATING EXPENSES</x:v>
      </x:c>
      <x:c r="S48" s="176" t="str">
        <x:v>OPERATING EXPENSES</x:v>
      </x:c>
      <x:c r="T48" s="176" t="str">
        <x:v>OPERATING EXPENSES</x:v>
      </x:c>
      <x:c r="U48" s="176" t="str">
        <x:v>OPERATING EXPENSES</x:v>
      </x:c>
      <x:c r="V48" s="176" t="str">
        <x:v>OPERATING EXPENSES</x:v>
      </x:c>
      <x:c r="W48" s="176" t="str">
        <x:v>OPERATING EXPENSES</x:v>
      </x:c>
      <x:c r="X48" s="176" t="str">
        <x:v>OPERATING EXPENSES</x:v>
      </x:c>
      <x:c r="Y48" s="176" t="str">
        <x:v>OPERATING EXPENSES</x:v>
      </x:c>
      <x:c r="Z48" s="176" t="str">
        <x:v>OPERATING EXPENSES</x:v>
      </x:c>
      <x:c r="AA48" s="176" t="str">
        <x:v>OPERATING EXPENSES</x:v>
      </x:c>
      <x:c r="AB48" s="176" t="str">
        <x:v>OPERATING EXPENSES</x:v>
      </x:c>
      <x:c r="AC48" s="176" t="str">
        <x:v>OPERATING EXPENSES</x:v>
      </x:c>
      <x:c r="AD48" s="176" t="str">
        <x:v>OPERATING EXPENSES</x:v>
      </x:c>
      <x:c r="AE48" s="176" t="str">
        <x:v>OPERATING EXPENSES</x:v>
      </x:c>
      <x:c r="AF48" s="176" t="str">
        <x:v>OPERATING EXPENSES</x:v>
      </x:c>
      <x:c r="AG48" s="176" t="str">
        <x:v>OPERATING EXPENSES</x:v>
      </x:c>
      <x:c r="AH48" s="176" t="str">
        <x:v>OPERATING EXPENSES</x:v>
      </x:c>
      <x:c r="AI48" s="176" t="str">
        <x:v>OPERATING EXPENSES</x:v>
      </x:c>
      <x:c r="AJ48" s="176" t="str">
        <x:v>OPERATING EXPENSES</x:v>
      </x:c>
      <x:c r="AK48" s="176" t="str">
        <x:v>OPERATING EXPENSES</x:v>
      </x:c>
    </x:row>
    <x:row r="49">
      <x:c r="A49" s="134" t="str">
        <x:v>Marketing</x:v>
      </x:c>
      <x:c r="B49" s="203" t="n">
        <x:f>'Assumptions'!$F$25*(1+'Assumptions'!$F$26)^(B$5-1)</x:f>
        <x:v>1000</x:v>
      </x:c>
      <x:c r="C49" s="203" t="n">
        <x:f>'Assumptions'!$F$25*(1+'Assumptions'!$F$26)^(C$5-1)</x:f>
        <x:v>1060</x:v>
      </x:c>
      <x:c r="D49" s="203" t="n">
        <x:f>'Assumptions'!$F$25*(1+'Assumptions'!$F$26)^(D$5-1)</x:f>
        <x:v>1123.6000000000001</x:v>
      </x:c>
      <x:c r="E49" s="203" t="n">
        <x:f>'Assumptions'!$F$25*(1+'Assumptions'!$F$26)^(E$5-1)</x:f>
        <x:v>1191.016</x:v>
      </x:c>
      <x:c r="F49" s="203" t="n">
        <x:f>'Assumptions'!$F$25*(1+'Assumptions'!$F$26)^(F$5-1)</x:f>
        <x:v>1262.4769600000004</x:v>
      </x:c>
      <x:c r="G49" s="203" t="n">
        <x:f>'Assumptions'!$F$25*(1+'Assumptions'!$F$26)^(G$5-1)</x:f>
        <x:v>1338.2255776000002</x:v>
      </x:c>
      <x:c r="H49" s="203" t="n">
        <x:f>'Assumptions'!$F$25*(1+'Assumptions'!$F$26)^(H$5-1)</x:f>
        <x:v>1418.5191122560004</x:v>
      </x:c>
      <x:c r="I49" s="203" t="n">
        <x:f>'Assumptions'!$F$25*(1+'Assumptions'!$F$26)^(I$5-1)</x:f>
        <x:v>1503.6302589913605</x:v>
      </x:c>
      <x:c r="J49" s="203" t="n">
        <x:f>'Assumptions'!$F$25*(1+'Assumptions'!$F$26)^(J$5-1)</x:f>
        <x:v>1593.8480745308423</x:v>
      </x:c>
      <x:c r="K49" s="203" t="n">
        <x:f>'Assumptions'!$F$25*(1+'Assumptions'!$F$26)^(K$5-1)</x:f>
        <x:v>1689.4789590026928</x:v>
      </x:c>
      <x:c r="L49" s="203" t="n">
        <x:f>'Assumptions'!$F$25*(1+'Assumptions'!$F$26)^(L$5-1)</x:f>
        <x:v>1790.8476965428547</x:v>
      </x:c>
      <x:c r="M49" s="203" t="n">
        <x:f>'Assumptions'!$F$25*(1+'Assumptions'!$F$26)^(M$5-1)</x:f>
        <x:v>1898.298558335426</x:v>
      </x:c>
      <x:c r="N49" s="203" t="n">
        <x:f>'Assumptions'!$F$25*(1+'Assumptions'!$F$26)^(N$5-1)</x:f>
        <x:v>2012.1964718355514</x:v>
      </x:c>
      <x:c r="O49" s="203" t="n">
        <x:f>'Assumptions'!$F$25*(1+'Assumptions'!$F$26)^(O$5-1)</x:f>
        <x:v>2132.928260145685</x:v>
      </x:c>
      <x:c r="P49" s="203" t="n">
        <x:f>'Assumptions'!$F$25*(1+'Assumptions'!$F$26)^(P$5-1)</x:f>
        <x:v>2260.903955754426</x:v>
      </x:c>
      <x:c r="Q49" s="203" t="n">
        <x:f>'Assumptions'!$F$25*(1+'Assumptions'!$F$26)^(Q$5-1)</x:f>
        <x:v>2396.5581930996914</x:v>
      </x:c>
      <x:c r="R49" s="203" t="n">
        <x:f>'Assumptions'!$F$25*(1+'Assumptions'!$F$26)^(R$5-1)</x:f>
        <x:v>2540.3516846856733</x:v>
      </x:c>
      <x:c r="S49" s="203" t="n">
        <x:f>'Assumptions'!$F$25*(1+'Assumptions'!$F$26)^(S$5-1)</x:f>
        <x:v>2692.7727857668137</x:v>
      </x:c>
      <x:c r="T49" s="203" t="n">
        <x:f>'Assumptions'!$F$25*(1+'Assumptions'!$F$26)^(T$5-1)</x:f>
        <x:v>2854.339152912823</x:v>
      </x:c>
      <x:c r="U49" s="203" t="n">
        <x:f>'Assumptions'!$F$25*(1+'Assumptions'!$F$26)^(U$5-1)</x:f>
        <x:v>3025.599502087592</x:v>
      </x:c>
      <x:c r="V49" s="203" t="n">
        <x:f>'Assumptions'!$F$25*(1+'Assumptions'!$F$26)^(V$5-1)</x:f>
        <x:v>3207.135472212848</x:v>
      </x:c>
      <x:c r="W49" s="203" t="n">
        <x:f>'Assumptions'!$F$25*(1+'Assumptions'!$F$26)^(W$5-1)</x:f>
        <x:v>3399.563600545619</x:v>
      </x:c>
      <x:c r="X49" s="203" t="n">
        <x:f>'Assumptions'!$F$25*(1+'Assumptions'!$F$26)^(X$5-1)</x:f>
        <x:v>3603.5374165783564</x:v>
      </x:c>
      <x:c r="Y49" s="203" t="n">
        <x:f>'Assumptions'!$F$25*(1+'Assumptions'!$F$26)^(Y$5-1)</x:f>
        <x:v>3819.749661573058</x:v>
      </x:c>
      <x:c r="Z49" s="203" t="n">
        <x:f>'Assumptions'!$F$25*(1+'Assumptions'!$F$26)^(Z$5-1)</x:f>
        <x:v>4048.9346412674417</x:v>
      </x:c>
      <x:c r="AA49" s="203" t="n">
        <x:f>'Assumptions'!$F$25*(1+'Assumptions'!$F$26)^(AA$5-1)</x:f>
        <x:v>4291.870719743488</x:v>
      </x:c>
      <x:c r="AB49" s="203" t="n">
        <x:f>'Assumptions'!$F$25*(1+'Assumptions'!$F$26)^(AB$5-1)</x:f>
        <x:v>4549.382962928098</x:v>
      </x:c>
      <x:c r="AC49" s="203" t="n">
        <x:f>'Assumptions'!$F$25*(1+'Assumptions'!$F$26)^(AC$5-1)</x:f>
        <x:v>4822.3459407037835</x:v>
      </x:c>
      <x:c r="AD49" s="203" t="n">
        <x:f>'Assumptions'!$F$25*(1+'Assumptions'!$F$26)^(AD$5-1)</x:f>
        <x:v>5111.686697146011</x:v>
      </x:c>
      <x:c r="AE49" s="203" t="n">
        <x:f>'Assumptions'!$F$25*(1+'Assumptions'!$F$26)^(AE$5-1)</x:f>
        <x:v>5418.387898974772</x:v>
      </x:c>
      <x:c r="AF49" s="203" t="n">
        <x:f>'Assumptions'!$F$25*(1+'Assumptions'!$F$26)^(AF$5-1)</x:f>
        <x:v>5743.491172913258</x:v>
      </x:c>
      <x:c r="AG49" s="203" t="n">
        <x:f>'Assumptions'!$F$25*(1+'Assumptions'!$F$26)^(AG$5-1)</x:f>
        <x:v>6088.100643288055</x:v>
      </x:c>
      <x:c r="AH49" s="203" t="n">
        <x:f>'Assumptions'!$F$25*(1+'Assumptions'!$F$26)^(AH$5-1)</x:f>
        <x:v>6453.3866818853385</x:v>
      </x:c>
      <x:c r="AI49" s="203" t="n">
        <x:f>'Assumptions'!$F$25*(1+'Assumptions'!$F$26)^(AI$5-1)</x:f>
        <x:v>6840.589882798459</x:v>
      </x:c>
      <x:c r="AJ49" s="203" t="n">
        <x:f>'Assumptions'!$F$25*(1+'Assumptions'!$F$26)^(AJ$5-1)</x:f>
        <x:v>7251.025275766367</x:v>
      </x:c>
      <x:c r="AK49" s="203" t="n">
        <x:f>'Assumptions'!$F$25*(1+'Assumptions'!$F$26)^(AK$5-1)</x:f>
        <x:v>7686.08679231235</x:v>
      </x:c>
    </x:row>
    <x:row r="50">
      <x:c r="A50" s="134" t="str">
        <x:v>Product / engineering contractor</x:v>
      </x:c>
      <x:c r="B50" s="203" t="n">
        <x:f>'Assumptions'!$F$27</x:f>
        <x:v>2500</x:v>
      </x:c>
      <x:c r="C50" s="203" t="n">
        <x:f>'Assumptions'!$F$27</x:f>
        <x:v>2500</x:v>
      </x:c>
      <x:c r="D50" s="203" t="n">
        <x:f>'Assumptions'!$F$27</x:f>
        <x:v>2500</x:v>
      </x:c>
      <x:c r="E50" s="203" t="n">
        <x:f>'Assumptions'!$F$27</x:f>
        <x:v>2500</x:v>
      </x:c>
      <x:c r="F50" s="203" t="n">
        <x:f>'Assumptions'!$F$27</x:f>
        <x:v>2500</x:v>
      </x:c>
      <x:c r="G50" s="203" t="n">
        <x:f>'Assumptions'!$F$27</x:f>
        <x:v>2500</x:v>
      </x:c>
      <x:c r="H50" s="203" t="n">
        <x:f>'Assumptions'!$F$27</x:f>
        <x:v>2500</x:v>
      </x:c>
      <x:c r="I50" s="203" t="n">
        <x:f>'Assumptions'!$F$27</x:f>
        <x:v>2500</x:v>
      </x:c>
      <x:c r="J50" s="203" t="n">
        <x:f>'Assumptions'!$F$27</x:f>
        <x:v>2500</x:v>
      </x:c>
      <x:c r="K50" s="203" t="n">
        <x:f>'Assumptions'!$F$27</x:f>
        <x:v>2500</x:v>
      </x:c>
      <x:c r="L50" s="203" t="n">
        <x:f>'Assumptions'!$F$27</x:f>
        <x:v>2500</x:v>
      </x:c>
      <x:c r="M50" s="203" t="n">
        <x:f>'Assumptions'!$F$27</x:f>
        <x:v>2500</x:v>
      </x:c>
      <x:c r="N50" s="203" t="n">
        <x:f>'Assumptions'!$F$27</x:f>
        <x:v>2500</x:v>
      </x:c>
      <x:c r="O50" s="203" t="n">
        <x:f>'Assumptions'!$F$27</x:f>
        <x:v>2500</x:v>
      </x:c>
      <x:c r="P50" s="203" t="n">
        <x:f>'Assumptions'!$F$27</x:f>
        <x:v>2500</x:v>
      </x:c>
      <x:c r="Q50" s="203" t="n">
        <x:f>'Assumptions'!$F$27</x:f>
        <x:v>2500</x:v>
      </x:c>
      <x:c r="R50" s="203" t="n">
        <x:f>'Assumptions'!$F$27</x:f>
        <x:v>2500</x:v>
      </x:c>
      <x:c r="S50" s="203" t="n">
        <x:f>'Assumptions'!$F$27</x:f>
        <x:v>2500</x:v>
      </x:c>
      <x:c r="T50" s="203" t="n">
        <x:f>'Assumptions'!$F$27</x:f>
        <x:v>2500</x:v>
      </x:c>
      <x:c r="U50" s="203" t="n">
        <x:f>'Assumptions'!$F$27</x:f>
        <x:v>2500</x:v>
      </x:c>
      <x:c r="V50" s="203" t="n">
        <x:f>'Assumptions'!$F$27</x:f>
        <x:v>2500</x:v>
      </x:c>
      <x:c r="W50" s="203" t="n">
        <x:f>'Assumptions'!$F$27</x:f>
        <x:v>2500</x:v>
      </x:c>
      <x:c r="X50" s="203" t="n">
        <x:f>'Assumptions'!$F$27</x:f>
        <x:v>2500</x:v>
      </x:c>
      <x:c r="Y50" s="203" t="n">
        <x:f>'Assumptions'!$F$27</x:f>
        <x:v>2500</x:v>
      </x:c>
      <x:c r="Z50" s="203" t="n">
        <x:f>'Assumptions'!$F$27</x:f>
        <x:v>2500</x:v>
      </x:c>
      <x:c r="AA50" s="203" t="n">
        <x:f>'Assumptions'!$F$27</x:f>
        <x:v>2500</x:v>
      </x:c>
      <x:c r="AB50" s="203" t="n">
        <x:f>'Assumptions'!$F$27</x:f>
        <x:v>2500</x:v>
      </x:c>
      <x:c r="AC50" s="203" t="n">
        <x:f>'Assumptions'!$F$27</x:f>
        <x:v>2500</x:v>
      </x:c>
      <x:c r="AD50" s="203" t="n">
        <x:f>'Assumptions'!$F$27</x:f>
        <x:v>2500</x:v>
      </x:c>
      <x:c r="AE50" s="203" t="n">
        <x:f>'Assumptions'!$F$27</x:f>
        <x:v>2500</x:v>
      </x:c>
      <x:c r="AF50" s="203" t="n">
        <x:f>'Assumptions'!$F$27</x:f>
        <x:v>2500</x:v>
      </x:c>
      <x:c r="AG50" s="203" t="n">
        <x:f>'Assumptions'!$F$27</x:f>
        <x:v>2500</x:v>
      </x:c>
      <x:c r="AH50" s="203" t="n">
        <x:f>'Assumptions'!$F$27</x:f>
        <x:v>2500</x:v>
      </x:c>
      <x:c r="AI50" s="203" t="n">
        <x:f>'Assumptions'!$F$27</x:f>
        <x:v>2500</x:v>
      </x:c>
      <x:c r="AJ50" s="203" t="n">
        <x:f>'Assumptions'!$F$27</x:f>
        <x:v>2500</x:v>
      </x:c>
      <x:c r="AK50" s="203" t="n">
        <x:f>'Assumptions'!$F$27</x:f>
        <x:v>2500</x:v>
      </x:c>
    </x:row>
    <x:row r="51">
      <x:c r="A51" s="134" t="str">
        <x:v>Founder payroll</x:v>
      </x:c>
      <x:c r="B51" s="203" t="n">
        <x:f>IF(B$5&gt;='Assumptions'!$F$29,'Assumptions'!$F$28,0)</x:f>
        <x:v>0</x:v>
      </x:c>
      <x:c r="C51" s="203" t="n">
        <x:f>IF(C$5&gt;='Assumptions'!$F$29,'Assumptions'!$F$28,0)</x:f>
        <x:v>0</x:v>
      </x:c>
      <x:c r="D51" s="203" t="n">
        <x:f>IF(D$5&gt;='Assumptions'!$F$29,'Assumptions'!$F$28,0)</x:f>
        <x:v>0</x:v>
      </x:c>
      <x:c r="E51" s="203" t="n">
        <x:f>IF(E$5&gt;='Assumptions'!$F$29,'Assumptions'!$F$28,0)</x:f>
        <x:v>0</x:v>
      </x:c>
      <x:c r="F51" s="203" t="n">
        <x:f>IF(F$5&gt;='Assumptions'!$F$29,'Assumptions'!$F$28,0)</x:f>
        <x:v>0</x:v>
      </x:c>
      <x:c r="G51" s="203" t="n">
        <x:f>IF(G$5&gt;='Assumptions'!$F$29,'Assumptions'!$F$28,0)</x:f>
        <x:v>0</x:v>
      </x:c>
      <x:c r="H51" s="203" t="n">
        <x:f>IF(H$5&gt;='Assumptions'!$F$29,'Assumptions'!$F$28,0)</x:f>
        <x:v>4000</x:v>
      </x:c>
      <x:c r="I51" s="203" t="n">
        <x:f>IF(I$5&gt;='Assumptions'!$F$29,'Assumptions'!$F$28,0)</x:f>
        <x:v>4000</x:v>
      </x:c>
      <x:c r="J51" s="203" t="n">
        <x:f>IF(J$5&gt;='Assumptions'!$F$29,'Assumptions'!$F$28,0)</x:f>
        <x:v>4000</x:v>
      </x:c>
      <x:c r="K51" s="203" t="n">
        <x:f>IF(K$5&gt;='Assumptions'!$F$29,'Assumptions'!$F$28,0)</x:f>
        <x:v>4000</x:v>
      </x:c>
      <x:c r="L51" s="203" t="n">
        <x:f>IF(L$5&gt;='Assumptions'!$F$29,'Assumptions'!$F$28,0)</x:f>
        <x:v>4000</x:v>
      </x:c>
      <x:c r="M51" s="203" t="n">
        <x:f>IF(M$5&gt;='Assumptions'!$F$29,'Assumptions'!$F$28,0)</x:f>
        <x:v>4000</x:v>
      </x:c>
      <x:c r="N51" s="203" t="n">
        <x:f>IF(N$5&gt;='Assumptions'!$F$29,'Assumptions'!$F$28,0)</x:f>
        <x:v>4000</x:v>
      </x:c>
      <x:c r="O51" s="203" t="n">
        <x:f>IF(O$5&gt;='Assumptions'!$F$29,'Assumptions'!$F$28,0)</x:f>
        <x:v>4000</x:v>
      </x:c>
      <x:c r="P51" s="203" t="n">
        <x:f>IF(P$5&gt;='Assumptions'!$F$29,'Assumptions'!$F$28,0)</x:f>
        <x:v>4000</x:v>
      </x:c>
      <x:c r="Q51" s="203" t="n">
        <x:f>IF(Q$5&gt;='Assumptions'!$F$29,'Assumptions'!$F$28,0)</x:f>
        <x:v>4000</x:v>
      </x:c>
      <x:c r="R51" s="203" t="n">
        <x:f>IF(R$5&gt;='Assumptions'!$F$29,'Assumptions'!$F$28,0)</x:f>
        <x:v>4000</x:v>
      </x:c>
      <x:c r="S51" s="203" t="n">
        <x:f>IF(S$5&gt;='Assumptions'!$F$29,'Assumptions'!$F$28,0)</x:f>
        <x:v>4000</x:v>
      </x:c>
      <x:c r="T51" s="203" t="n">
        <x:f>IF(T$5&gt;='Assumptions'!$F$29,'Assumptions'!$F$28,0)</x:f>
        <x:v>4000</x:v>
      </x:c>
      <x:c r="U51" s="203" t="n">
        <x:f>IF(U$5&gt;='Assumptions'!$F$29,'Assumptions'!$F$28,0)</x:f>
        <x:v>4000</x:v>
      </x:c>
      <x:c r="V51" s="203" t="n">
        <x:f>IF(V$5&gt;='Assumptions'!$F$29,'Assumptions'!$F$28,0)</x:f>
        <x:v>4000</x:v>
      </x:c>
      <x:c r="W51" s="203" t="n">
        <x:f>IF(W$5&gt;='Assumptions'!$F$29,'Assumptions'!$F$28,0)</x:f>
        <x:v>4000</x:v>
      </x:c>
      <x:c r="X51" s="203" t="n">
        <x:f>IF(X$5&gt;='Assumptions'!$F$29,'Assumptions'!$F$28,0)</x:f>
        <x:v>4000</x:v>
      </x:c>
      <x:c r="Y51" s="203" t="n">
        <x:f>IF(Y$5&gt;='Assumptions'!$F$29,'Assumptions'!$F$28,0)</x:f>
        <x:v>4000</x:v>
      </x:c>
      <x:c r="Z51" s="203" t="n">
        <x:f>IF(Z$5&gt;='Assumptions'!$F$29,'Assumptions'!$F$28,0)</x:f>
        <x:v>4000</x:v>
      </x:c>
      <x:c r="AA51" s="203" t="n">
        <x:f>IF(AA$5&gt;='Assumptions'!$F$29,'Assumptions'!$F$28,0)</x:f>
        <x:v>4000</x:v>
      </x:c>
      <x:c r="AB51" s="203" t="n">
        <x:f>IF(AB$5&gt;='Assumptions'!$F$29,'Assumptions'!$F$28,0)</x:f>
        <x:v>4000</x:v>
      </x:c>
      <x:c r="AC51" s="203" t="n">
        <x:f>IF(AC$5&gt;='Assumptions'!$F$29,'Assumptions'!$F$28,0)</x:f>
        <x:v>4000</x:v>
      </x:c>
      <x:c r="AD51" s="203" t="n">
        <x:f>IF(AD$5&gt;='Assumptions'!$F$29,'Assumptions'!$F$28,0)</x:f>
        <x:v>4000</x:v>
      </x:c>
      <x:c r="AE51" s="203" t="n">
        <x:f>IF(AE$5&gt;='Assumptions'!$F$29,'Assumptions'!$F$28,0)</x:f>
        <x:v>4000</x:v>
      </x:c>
      <x:c r="AF51" s="203" t="n">
        <x:f>IF(AF$5&gt;='Assumptions'!$F$29,'Assumptions'!$F$28,0)</x:f>
        <x:v>4000</x:v>
      </x:c>
      <x:c r="AG51" s="203" t="n">
        <x:f>IF(AG$5&gt;='Assumptions'!$F$29,'Assumptions'!$F$28,0)</x:f>
        <x:v>4000</x:v>
      </x:c>
      <x:c r="AH51" s="203" t="n">
        <x:f>IF(AH$5&gt;='Assumptions'!$F$29,'Assumptions'!$F$28,0)</x:f>
        <x:v>4000</x:v>
      </x:c>
      <x:c r="AI51" s="203" t="n">
        <x:f>IF(AI$5&gt;='Assumptions'!$F$29,'Assumptions'!$F$28,0)</x:f>
        <x:v>4000</x:v>
      </x:c>
      <x:c r="AJ51" s="203" t="n">
        <x:f>IF(AJ$5&gt;='Assumptions'!$F$29,'Assumptions'!$F$28,0)</x:f>
        <x:v>4000</x:v>
      </x:c>
      <x:c r="AK51" s="203" t="n">
        <x:f>IF(AK$5&gt;='Assumptions'!$F$29,'Assumptions'!$F$28,0)</x:f>
        <x:v>4000</x:v>
      </x:c>
    </x:row>
    <x:row r="52">
      <x:c r="A52" s="134" t="str">
        <x:v>Sales &amp; support</x:v>
      </x:c>
      <x:c r="B52" s="203" t="n">
        <x:f>IF(B$5&gt;='Assumptions'!$F$31,'Assumptions'!$F$30,0)</x:f>
        <x:v>0</x:v>
      </x:c>
      <x:c r="C52" s="203" t="n">
        <x:f>IF(C$5&gt;='Assumptions'!$F$31,'Assumptions'!$F$30,0)</x:f>
        <x:v>0</x:v>
      </x:c>
      <x:c r="D52" s="203" t="n">
        <x:f>IF(D$5&gt;='Assumptions'!$F$31,'Assumptions'!$F$30,0)</x:f>
        <x:v>0</x:v>
      </x:c>
      <x:c r="E52" s="203" t="n">
        <x:f>IF(E$5&gt;='Assumptions'!$F$31,'Assumptions'!$F$30,0)</x:f>
        <x:v>0</x:v>
      </x:c>
      <x:c r="F52" s="203" t="n">
        <x:f>IF(F$5&gt;='Assumptions'!$F$31,'Assumptions'!$F$30,0)</x:f>
        <x:v>0</x:v>
      </x:c>
      <x:c r="G52" s="203" t="n">
        <x:f>IF(G$5&gt;='Assumptions'!$F$31,'Assumptions'!$F$30,0)</x:f>
        <x:v>0</x:v>
      </x:c>
      <x:c r="H52" s="203" t="n">
        <x:f>IF(H$5&gt;='Assumptions'!$F$31,'Assumptions'!$F$30,0)</x:f>
        <x:v>0</x:v>
      </x:c>
      <x:c r="I52" s="203" t="n">
        <x:f>IF(I$5&gt;='Assumptions'!$F$31,'Assumptions'!$F$30,0)</x:f>
        <x:v>0</x:v>
      </x:c>
      <x:c r="J52" s="203" t="n">
        <x:f>IF(J$5&gt;='Assumptions'!$F$31,'Assumptions'!$F$30,0)</x:f>
        <x:v>0</x:v>
      </x:c>
      <x:c r="K52" s="203" t="n">
        <x:f>IF(K$5&gt;='Assumptions'!$F$31,'Assumptions'!$F$30,0)</x:f>
        <x:v>2500</x:v>
      </x:c>
      <x:c r="L52" s="203" t="n">
        <x:f>IF(L$5&gt;='Assumptions'!$F$31,'Assumptions'!$F$30,0)</x:f>
        <x:v>2500</x:v>
      </x:c>
      <x:c r="M52" s="203" t="n">
        <x:f>IF(M$5&gt;='Assumptions'!$F$31,'Assumptions'!$F$30,0)</x:f>
        <x:v>2500</x:v>
      </x:c>
      <x:c r="N52" s="203" t="n">
        <x:f>IF(N$5&gt;='Assumptions'!$F$31,'Assumptions'!$F$30,0)</x:f>
        <x:v>2500</x:v>
      </x:c>
      <x:c r="O52" s="203" t="n">
        <x:f>IF(O$5&gt;='Assumptions'!$F$31,'Assumptions'!$F$30,0)</x:f>
        <x:v>2500</x:v>
      </x:c>
      <x:c r="P52" s="203" t="n">
        <x:f>IF(P$5&gt;='Assumptions'!$F$31,'Assumptions'!$F$30,0)</x:f>
        <x:v>2500</x:v>
      </x:c>
      <x:c r="Q52" s="203" t="n">
        <x:f>IF(Q$5&gt;='Assumptions'!$F$31,'Assumptions'!$F$30,0)</x:f>
        <x:v>2500</x:v>
      </x:c>
      <x:c r="R52" s="203" t="n">
        <x:f>IF(R$5&gt;='Assumptions'!$F$31,'Assumptions'!$F$30,0)</x:f>
        <x:v>2500</x:v>
      </x:c>
      <x:c r="S52" s="203" t="n">
        <x:f>IF(S$5&gt;='Assumptions'!$F$31,'Assumptions'!$F$30,0)</x:f>
        <x:v>2500</x:v>
      </x:c>
      <x:c r="T52" s="203" t="n">
        <x:f>IF(T$5&gt;='Assumptions'!$F$31,'Assumptions'!$F$30,0)</x:f>
        <x:v>2500</x:v>
      </x:c>
      <x:c r="U52" s="203" t="n">
        <x:f>IF(U$5&gt;='Assumptions'!$F$31,'Assumptions'!$F$30,0)</x:f>
        <x:v>2500</x:v>
      </x:c>
      <x:c r="V52" s="203" t="n">
        <x:f>IF(V$5&gt;='Assumptions'!$F$31,'Assumptions'!$F$30,0)</x:f>
        <x:v>2500</x:v>
      </x:c>
      <x:c r="W52" s="203" t="n">
        <x:f>IF(W$5&gt;='Assumptions'!$F$31,'Assumptions'!$F$30,0)</x:f>
        <x:v>2500</x:v>
      </x:c>
      <x:c r="X52" s="203" t="n">
        <x:f>IF(X$5&gt;='Assumptions'!$F$31,'Assumptions'!$F$30,0)</x:f>
        <x:v>2500</x:v>
      </x:c>
      <x:c r="Y52" s="203" t="n">
        <x:f>IF(Y$5&gt;='Assumptions'!$F$31,'Assumptions'!$F$30,0)</x:f>
        <x:v>2500</x:v>
      </x:c>
      <x:c r="Z52" s="203" t="n">
        <x:f>IF(Z$5&gt;='Assumptions'!$F$31,'Assumptions'!$F$30,0)</x:f>
        <x:v>2500</x:v>
      </x:c>
      <x:c r="AA52" s="203" t="n">
        <x:f>IF(AA$5&gt;='Assumptions'!$F$31,'Assumptions'!$F$30,0)</x:f>
        <x:v>2500</x:v>
      </x:c>
      <x:c r="AB52" s="203" t="n">
        <x:f>IF(AB$5&gt;='Assumptions'!$F$31,'Assumptions'!$F$30,0)</x:f>
        <x:v>2500</x:v>
      </x:c>
      <x:c r="AC52" s="203" t="n">
        <x:f>IF(AC$5&gt;='Assumptions'!$F$31,'Assumptions'!$F$30,0)</x:f>
        <x:v>2500</x:v>
      </x:c>
      <x:c r="AD52" s="203" t="n">
        <x:f>IF(AD$5&gt;='Assumptions'!$F$31,'Assumptions'!$F$30,0)</x:f>
        <x:v>2500</x:v>
      </x:c>
      <x:c r="AE52" s="203" t="n">
        <x:f>IF(AE$5&gt;='Assumptions'!$F$31,'Assumptions'!$F$30,0)</x:f>
        <x:v>2500</x:v>
      </x:c>
      <x:c r="AF52" s="203" t="n">
        <x:f>IF(AF$5&gt;='Assumptions'!$F$31,'Assumptions'!$F$30,0)</x:f>
        <x:v>2500</x:v>
      </x:c>
      <x:c r="AG52" s="203" t="n">
        <x:f>IF(AG$5&gt;='Assumptions'!$F$31,'Assumptions'!$F$30,0)</x:f>
        <x:v>2500</x:v>
      </x:c>
      <x:c r="AH52" s="203" t="n">
        <x:f>IF(AH$5&gt;='Assumptions'!$F$31,'Assumptions'!$F$30,0)</x:f>
        <x:v>2500</x:v>
      </x:c>
      <x:c r="AI52" s="203" t="n">
        <x:f>IF(AI$5&gt;='Assumptions'!$F$31,'Assumptions'!$F$30,0)</x:f>
        <x:v>2500</x:v>
      </x:c>
      <x:c r="AJ52" s="203" t="n">
        <x:f>IF(AJ$5&gt;='Assumptions'!$F$31,'Assumptions'!$F$30,0)</x:f>
        <x:v>2500</x:v>
      </x:c>
      <x:c r="AK52" s="203" t="n">
        <x:f>IF(AK$5&gt;='Assumptions'!$F$31,'Assumptions'!$F$30,0)</x:f>
        <x:v>2500</x:v>
      </x:c>
    </x:row>
    <x:row r="53">
      <x:c r="A53" s="134" t="str">
        <x:v>Software tools</x:v>
      </x:c>
      <x:c r="B53" s="203" t="n">
        <x:f>'Assumptions'!$F$32*(1+'Assumptions'!$F$33)^(B$5-1)</x:f>
        <x:v>500</x:v>
      </x:c>
      <x:c r="C53" s="203" t="n">
        <x:f>'Assumptions'!$F$32*(1+'Assumptions'!$F$33)^(C$5-1)</x:f>
        <x:v>525</x:v>
      </x:c>
      <x:c r="D53" s="203" t="n">
        <x:f>'Assumptions'!$F$32*(1+'Assumptions'!$F$33)^(D$5-1)</x:f>
        <x:v>551.25</x:v>
      </x:c>
      <x:c r="E53" s="203" t="n">
        <x:f>'Assumptions'!$F$32*(1+'Assumptions'!$F$33)^(E$5-1)</x:f>
        <x:v>578.8125000000001</x:v>
      </x:c>
      <x:c r="F53" s="203" t="n">
        <x:f>'Assumptions'!$F$32*(1+'Assumptions'!$F$33)^(F$5-1)</x:f>
        <x:v>607.7531250000001</x:v>
      </x:c>
      <x:c r="G53" s="203" t="n">
        <x:f>'Assumptions'!$F$32*(1+'Assumptions'!$F$33)^(G$5-1)</x:f>
        <x:v>638.1407812500001</x:v>
      </x:c>
      <x:c r="H53" s="203" t="n">
        <x:f>'Assumptions'!$F$32*(1+'Assumptions'!$F$33)^(H$5-1)</x:f>
        <x:v>670.0478203125002</x:v>
      </x:c>
      <x:c r="I53" s="203" t="n">
        <x:f>'Assumptions'!$F$32*(1+'Assumptions'!$F$33)^(I$5-1)</x:f>
        <x:v>703.5502113281252</x:v>
      </x:c>
      <x:c r="J53" s="203" t="n">
        <x:f>'Assumptions'!$F$32*(1+'Assumptions'!$F$33)^(J$5-1)</x:f>
        <x:v>738.7277218945316</x:v>
      </x:c>
      <x:c r="K53" s="203" t="n">
        <x:f>'Assumptions'!$F$32*(1+'Assumptions'!$F$33)^(K$5-1)</x:f>
        <x:v>775.6641079892581</x:v>
      </x:c>
      <x:c r="L53" s="203" t="n">
        <x:f>'Assumptions'!$F$32*(1+'Assumptions'!$F$33)^(L$5-1)</x:f>
        <x:v>814.447313388721</x:v>
      </x:c>
      <x:c r="M53" s="203" t="n">
        <x:f>'Assumptions'!$F$32*(1+'Assumptions'!$F$33)^(M$5-1)</x:f>
        <x:v>855.1696790581572</x:v>
      </x:c>
      <x:c r="N53" s="203" t="n">
        <x:f>'Assumptions'!$F$32*(1+'Assumptions'!$F$33)^(N$5-1)</x:f>
        <x:v>897.9281630110651</x:v>
      </x:c>
      <x:c r="O53" s="203" t="n">
        <x:f>'Assumptions'!$F$32*(1+'Assumptions'!$F$33)^(O$5-1)</x:f>
        <x:v>942.8245711616183</x:v>
      </x:c>
      <x:c r="P53" s="203" t="n">
        <x:f>'Assumptions'!$F$32*(1+'Assumptions'!$F$33)^(P$5-1)</x:f>
        <x:v>989.9657997196994</x:v>
      </x:c>
      <x:c r="Q53" s="203" t="n">
        <x:f>'Assumptions'!$F$32*(1+'Assumptions'!$F$33)^(Q$5-1)</x:f>
        <x:v>1039.4640897056843</x:v>
      </x:c>
      <x:c r="R53" s="203" t="n">
        <x:f>'Assumptions'!$F$32*(1+'Assumptions'!$F$33)^(R$5-1)</x:f>
        <x:v>1091.4372941909685</x:v>
      </x:c>
      <x:c r="S53" s="203" t="n">
        <x:f>'Assumptions'!$F$32*(1+'Assumptions'!$F$33)^(S$5-1)</x:f>
        <x:v>1146.009158900517</x:v>
      </x:c>
      <x:c r="T53" s="203" t="n">
        <x:f>'Assumptions'!$F$32*(1+'Assumptions'!$F$33)^(T$5-1)</x:f>
        <x:v>1203.309616845543</x:v>
      </x:c>
      <x:c r="U53" s="203" t="n">
        <x:f>'Assumptions'!$F$32*(1+'Assumptions'!$F$33)^(U$5-1)</x:f>
        <x:v>1263.4750976878202</x:v>
      </x:c>
      <x:c r="V53" s="203" t="n">
        <x:f>'Assumptions'!$F$32*(1+'Assumptions'!$F$33)^(V$5-1)</x:f>
        <x:v>1326.6488525722111</x:v>
      </x:c>
      <x:c r="W53" s="203" t="n">
        <x:f>'Assumptions'!$F$32*(1+'Assumptions'!$F$33)^(W$5-1)</x:f>
        <x:v>1392.9812952008217</x:v>
      </x:c>
      <x:c r="X53" s="203" t="n">
        <x:f>'Assumptions'!$F$32*(1+'Assumptions'!$F$33)^(X$5-1)</x:f>
        <x:v>1462.630359960863</x:v>
      </x:c>
      <x:c r="Y53" s="203" t="n">
        <x:f>'Assumptions'!$F$32*(1+'Assumptions'!$F$33)^(Y$5-1)</x:f>
        <x:v>1535.761877958906</x:v>
      </x:c>
      <x:c r="Z53" s="203" t="n">
        <x:f>'Assumptions'!$F$32*(1+'Assumptions'!$F$33)^(Z$5-1)</x:f>
        <x:v>1612.5499718568515</x:v>
      </x:c>
      <x:c r="AA53" s="203" t="n">
        <x:f>'Assumptions'!$F$32*(1+'Assumptions'!$F$33)^(AA$5-1)</x:f>
        <x:v>1693.1774704496943</x:v>
      </x:c>
      <x:c r="AB53" s="203" t="n">
        <x:f>'Assumptions'!$F$32*(1+'Assumptions'!$F$33)^(AB$5-1)</x:f>
        <x:v>1777.8363439721788</x:v>
      </x:c>
      <x:c r="AC53" s="203" t="n">
        <x:f>'Assumptions'!$F$32*(1+'Assumptions'!$F$33)^(AC$5-1)</x:f>
        <x:v>1866.728161170788</x:v>
      </x:c>
      <x:c r="AD53" s="203" t="n">
        <x:f>'Assumptions'!$F$32*(1+'Assumptions'!$F$33)^(AD$5-1)</x:f>
        <x:v>1960.0645692293274</x:v>
      </x:c>
      <x:c r="AE53" s="203" t="n">
        <x:f>'Assumptions'!$F$32*(1+'Assumptions'!$F$33)^(AE$5-1)</x:f>
        <x:v>2058.067797690794</x:v>
      </x:c>
      <x:c r="AF53" s="203" t="n">
        <x:f>'Assumptions'!$F$32*(1+'Assumptions'!$F$33)^(AF$5-1)</x:f>
        <x:v>2160.9711875753337</x:v>
      </x:c>
      <x:c r="AG53" s="203" t="n">
        <x:f>'Assumptions'!$F$32*(1+'Assumptions'!$F$33)^(AG$5-1)</x:f>
        <x:v>2269.0197469541004</x:v>
      </x:c>
      <x:c r="AH53" s="203" t="n">
        <x:f>'Assumptions'!$F$32*(1+'Assumptions'!$F$33)^(AH$5-1)</x:f>
        <x:v>2382.470734301806</x:v>
      </x:c>
      <x:c r="AI53" s="203" t="n">
        <x:f>'Assumptions'!$F$32*(1+'Assumptions'!$F$33)^(AI$5-1)</x:f>
        <x:v>2501.594271016896</x:v>
      </x:c>
      <x:c r="AJ53" s="203" t="n">
        <x:f>'Assumptions'!$F$32*(1+'Assumptions'!$F$33)^(AJ$5-1)</x:f>
        <x:v>2626.6739845677407</x:v>
      </x:c>
      <x:c r="AK53" s="203" t="n">
        <x:f>'Assumptions'!$F$32*(1+'Assumptions'!$F$33)^(AK$5-1)</x:f>
        <x:v>2758.0076837961283</x:v>
      </x:c>
    </x:row>
    <x:row r="54">
      <x:c r="A54" s="134" t="str">
        <x:v>General &amp; administrative</x:v>
      </x:c>
      <x:c r="B54" s="203" t="n">
        <x:f>'Assumptions'!$F$34</x:f>
        <x:v>350</x:v>
      </x:c>
      <x:c r="C54" s="203" t="n">
        <x:f>'Assumptions'!$F$34</x:f>
        <x:v>350</x:v>
      </x:c>
      <x:c r="D54" s="203" t="n">
        <x:f>'Assumptions'!$F$34</x:f>
        <x:v>350</x:v>
      </x:c>
      <x:c r="E54" s="203" t="n">
        <x:f>'Assumptions'!$F$34</x:f>
        <x:v>350</x:v>
      </x:c>
      <x:c r="F54" s="203" t="n">
        <x:f>'Assumptions'!$F$34</x:f>
        <x:v>350</x:v>
      </x:c>
      <x:c r="G54" s="203" t="n">
        <x:f>'Assumptions'!$F$34</x:f>
        <x:v>350</x:v>
      </x:c>
      <x:c r="H54" s="203" t="n">
        <x:f>'Assumptions'!$F$34</x:f>
        <x:v>350</x:v>
      </x:c>
      <x:c r="I54" s="203" t="n">
        <x:f>'Assumptions'!$F$34</x:f>
        <x:v>350</x:v>
      </x:c>
      <x:c r="J54" s="203" t="n">
        <x:f>'Assumptions'!$F$34</x:f>
        <x:v>350</x:v>
      </x:c>
      <x:c r="K54" s="203" t="n">
        <x:f>'Assumptions'!$F$34</x:f>
        <x:v>350</x:v>
      </x:c>
      <x:c r="L54" s="203" t="n">
        <x:f>'Assumptions'!$F$34</x:f>
        <x:v>350</x:v>
      </x:c>
      <x:c r="M54" s="203" t="n">
        <x:f>'Assumptions'!$F$34</x:f>
        <x:v>350</x:v>
      </x:c>
      <x:c r="N54" s="203" t="n">
        <x:f>'Assumptions'!$F$34</x:f>
        <x:v>350</x:v>
      </x:c>
      <x:c r="O54" s="203" t="n">
        <x:f>'Assumptions'!$F$34</x:f>
        <x:v>350</x:v>
      </x:c>
      <x:c r="P54" s="203" t="n">
        <x:f>'Assumptions'!$F$34</x:f>
        <x:v>350</x:v>
      </x:c>
      <x:c r="Q54" s="203" t="n">
        <x:f>'Assumptions'!$F$34</x:f>
        <x:v>350</x:v>
      </x:c>
      <x:c r="R54" s="203" t="n">
        <x:f>'Assumptions'!$F$34</x:f>
        <x:v>350</x:v>
      </x:c>
      <x:c r="S54" s="203" t="n">
        <x:f>'Assumptions'!$F$34</x:f>
        <x:v>350</x:v>
      </x:c>
      <x:c r="T54" s="203" t="n">
        <x:f>'Assumptions'!$F$34</x:f>
        <x:v>350</x:v>
      </x:c>
      <x:c r="U54" s="203" t="n">
        <x:f>'Assumptions'!$F$34</x:f>
        <x:v>350</x:v>
      </x:c>
      <x:c r="V54" s="203" t="n">
        <x:f>'Assumptions'!$F$34</x:f>
        <x:v>350</x:v>
      </x:c>
      <x:c r="W54" s="203" t="n">
        <x:f>'Assumptions'!$F$34</x:f>
        <x:v>350</x:v>
      </x:c>
      <x:c r="X54" s="203" t="n">
        <x:f>'Assumptions'!$F$34</x:f>
        <x:v>350</x:v>
      </x:c>
      <x:c r="Y54" s="203" t="n">
        <x:f>'Assumptions'!$F$34</x:f>
        <x:v>350</x:v>
      </x:c>
      <x:c r="Z54" s="203" t="n">
        <x:f>'Assumptions'!$F$34</x:f>
        <x:v>350</x:v>
      </x:c>
      <x:c r="AA54" s="203" t="n">
        <x:f>'Assumptions'!$F$34</x:f>
        <x:v>350</x:v>
      </x:c>
      <x:c r="AB54" s="203" t="n">
        <x:f>'Assumptions'!$F$34</x:f>
        <x:v>350</x:v>
      </x:c>
      <x:c r="AC54" s="203" t="n">
        <x:f>'Assumptions'!$F$34</x:f>
        <x:v>350</x:v>
      </x:c>
      <x:c r="AD54" s="203" t="n">
        <x:f>'Assumptions'!$F$34</x:f>
        <x:v>350</x:v>
      </x:c>
      <x:c r="AE54" s="203" t="n">
        <x:f>'Assumptions'!$F$34</x:f>
        <x:v>350</x:v>
      </x:c>
      <x:c r="AF54" s="203" t="n">
        <x:f>'Assumptions'!$F$34</x:f>
        <x:v>350</x:v>
      </x:c>
      <x:c r="AG54" s="203" t="n">
        <x:f>'Assumptions'!$F$34</x:f>
        <x:v>350</x:v>
      </x:c>
      <x:c r="AH54" s="203" t="n">
        <x:f>'Assumptions'!$F$34</x:f>
        <x:v>350</x:v>
      </x:c>
      <x:c r="AI54" s="203" t="n">
        <x:f>'Assumptions'!$F$34</x:f>
        <x:v>350</x:v>
      </x:c>
      <x:c r="AJ54" s="203" t="n">
        <x:f>'Assumptions'!$F$34</x:f>
        <x:v>350</x:v>
      </x:c>
      <x:c r="AK54" s="203" t="n">
        <x:f>'Assumptions'!$F$34</x:f>
        <x:v>350</x:v>
      </x:c>
    </x:row>
    <x:row r="55">
      <x:c r="A55" s="150" t="str">
        <x:v>Total operating expenses</x:v>
      </x:c>
      <x:c r="B55" s="205" t="n">
        <x:f>SUM(B49:B54)</x:f>
        <x:v>4350</x:v>
      </x:c>
      <x:c r="C55" s="205" t="n">
        <x:f>SUM(C49:C54)</x:f>
        <x:v>4435</x:v>
      </x:c>
      <x:c r="D55" s="205" t="n">
        <x:f>SUM(D49:D54)</x:f>
        <x:v>4524.85</x:v>
      </x:c>
      <x:c r="E55" s="205" t="n">
        <x:f>SUM(E49:E54)</x:f>
        <x:v>4619.8285000000005</x:v>
      </x:c>
      <x:c r="F55" s="205" t="n">
        <x:f>SUM(F49:F54)</x:f>
        <x:v>4720.230085</x:v>
      </x:c>
      <x:c r="G55" s="205" t="n">
        <x:f>SUM(G49:G54)</x:f>
        <x:v>4826.36635885</x:v>
      </x:c>
      <x:c r="H55" s="205" t="n">
        <x:f>SUM(H49:H54)</x:f>
        <x:v>8938.566932568501</x:v>
      </x:c>
      <x:c r="I55" s="205" t="n">
        <x:f>SUM(I49:I54)</x:f>
        <x:v>9057.180470319485</x:v>
      </x:c>
      <x:c r="J55" s="205" t="n">
        <x:f>SUM(J49:J54)</x:f>
        <x:v>9182.575796425373</x:v>
      </x:c>
      <x:c r="K55" s="205" t="n">
        <x:f>SUM(K49:K54)</x:f>
        <x:v>11815.14306699195</x:v>
      </x:c>
      <x:c r="L55" s="205" t="n">
        <x:f>SUM(L49:L54)</x:f>
        <x:v>11955.295009931575</x:v>
      </x:c>
      <x:c r="M55" s="205" t="n">
        <x:f>SUM(M49:M54)</x:f>
        <x:v>12103.468237393583</x:v>
      </x:c>
      <x:c r="N55" s="205" t="n">
        <x:f>SUM(N49:N54)</x:f>
        <x:v>12260.124634846617</x:v>
      </x:c>
      <x:c r="O55" s="205" t="n">
        <x:f>SUM(O49:O54)</x:f>
        <x:v>12425.752831307303</x:v>
      </x:c>
      <x:c r="P55" s="205" t="n">
        <x:f>SUM(P49:P54)</x:f>
        <x:v>12600.869755474125</x:v>
      </x:c>
      <x:c r="Q55" s="205" t="n">
        <x:f>SUM(Q49:Q54)</x:f>
        <x:v>12786.022282805377</x:v>
      </x:c>
      <x:c r="R55" s="205" t="n">
        <x:f>SUM(R49:R54)</x:f>
        <x:v>12981.78897887664</x:v>
      </x:c>
      <x:c r="S55" s="205" t="n">
        <x:f>SUM(S49:S54)</x:f>
        <x:v>13188.781944667331</x:v>
      </x:c>
      <x:c r="T55" s="205" t="n">
        <x:f>SUM(T49:T54)</x:f>
        <x:v>13407.648769758367</x:v>
      </x:c>
      <x:c r="U55" s="205" t="n">
        <x:f>SUM(U49:U54)</x:f>
        <x:v>13639.074599775413</x:v>
      </x:c>
      <x:c r="V55" s="205" t="n">
        <x:f>SUM(V49:V54)</x:f>
        <x:v>13883.78432478506</x:v>
      </x:c>
      <x:c r="W55" s="205" t="n">
        <x:f>SUM(W49:W54)</x:f>
        <x:v>14142.54489574644</x:v>
      </x:c>
      <x:c r="X55" s="205" t="n">
        <x:f>SUM(X49:X54)</x:f>
        <x:v>14416.16777653922</x:v>
      </x:c>
      <x:c r="Y55" s="205" t="n">
        <x:f>SUM(Y49:Y54)</x:f>
        <x:v>14705.511539531964</x:v>
      </x:c>
      <x:c r="Z55" s="205" t="n">
        <x:f>SUM(Z49:Z54)</x:f>
        <x:v>15011.484613124294</x:v>
      </x:c>
      <x:c r="AA55" s="205" t="n">
        <x:f>SUM(AA49:AA54)</x:f>
        <x:v>15335.048190193183</x:v>
      </x:c>
      <x:c r="AB55" s="205" t="n">
        <x:f>SUM(AB49:AB54)</x:f>
        <x:v>15677.219306900279</x:v>
      </x:c>
      <x:c r="AC55" s="205" t="n">
        <x:f>SUM(AC49:AC54)</x:f>
        <x:v>16039.074101874572</x:v>
      </x:c>
      <x:c r="AD55" s="205" t="n">
        <x:f>SUM(AD49:AD54)</x:f>
        <x:v>16421.751266375337</x:v>
      </x:c>
      <x:c r="AE55" s="205" t="n">
        <x:f>SUM(AE49:AE54)</x:f>
        <x:v>16826.455696665565</x:v>
      </x:c>
      <x:c r="AF55" s="205" t="n">
        <x:f>SUM(AF49:AF54)</x:f>
        <x:v>17254.462360488593</x:v>
      </x:c>
      <x:c r="AG55" s="205" t="n">
        <x:f>SUM(AG49:AG54)</x:f>
        <x:v>17707.120390242155</x:v>
      </x:c>
      <x:c r="AH55" s="205" t="n">
        <x:f>SUM(AH49:AH54)</x:f>
        <x:v>18185.857416187144</x:v>
      </x:c>
      <x:c r="AI55" s="205" t="n">
        <x:f>SUM(AI49:AI54)</x:f>
        <x:v>18692.184153815357</x:v>
      </x:c>
      <x:c r="AJ55" s="205" t="n">
        <x:f>SUM(AJ49:AJ54)</x:f>
        <x:v>19227.699260334106</x:v>
      </x:c>
      <x:c r="AK55" s="205" t="n">
        <x:f>SUM(AK49:AK54)</x:f>
        <x:v>19794.09447610848</x:v>
      </x:c>
    </x:row>
    <x:row r="56">
      <x:c r="A56" s="150" t="str">
        <x:v>Operating profit / (loss)</x:v>
      </x:c>
      <x:c r="B56" s="205" t="n">
        <x:f>B45-B55</x:f>
        <x:v>-3878.7468</x:v>
      </x:c>
      <x:c r="C56" s="205" t="n">
        <x:f>C45-C55</x:f>
        <x:v>-3466.859356</x:v>
      </x:c>
      <x:c r="D56" s="205" t="n">
        <x:f>D45-D55</x:f>
        <x:v>-3030.65629276</x:v>
      </x:c>
      <x:c r="E56" s="205" t="n">
        <x:f>E45-E55</x:f>
        <x:v>-2566.5646093660002</x:v>
      </x:c>
      <x:c r="F56" s="205" t="n">
        <x:f>F45-F55</x:f>
        <x:v>-2070.669806243547</x:v>
      </x:c>
      <x:c r="G56" s="205" t="n">
        <x:f>G45-G55</x:f>
        <x:v>-1538.675350586187</x:v>
      </x:c>
      <x:c r="H56" s="205" t="n">
        <x:f>H45-H55</x:f>
        <x:v>-4965.857719812234</x:v>
      </x:c>
      <x:c r="I56" s="205" t="n">
        <x:f>I45-I55</x:f>
        <x:v>-4347.016506915973</x:v>
      </x:c>
      <x:c r="J56" s="205" t="n">
        <x:f>J45-J55</x:f>
        <x:v>-3676.4190121758447</x:v>
      </x:c>
      <x:c r="K56" s="205" t="n">
        <x:f>K45-K55</x:f>
        <x:v>-5447.738679279881</x:v>
      </x:c>
      <x:c r="L56" s="205" t="n">
        <x:f>L45-L55</x:f>
        <x:v>-4653.986659702946</x:v>
      </x:c>
      <x:c r="M56" s="205" t="n">
        <x:f>M45-M55</x:f>
        <x:v>-3787.435706198481</x:v>
      </x:c>
      <x:c r="N56" s="205" t="n">
        <x:f>N45-N55</x:f>
        <x:v>-2839.5355035173106</x:v>
      </x:c>
      <x:c r="O56" s="205" t="n">
        <x:f>O45-O55</x:f>
        <x:v>-1800.818440782432</x:v>
      </x:c>
      <x:c r="P56" s="205" t="n">
        <x:f>P45-P55</x:f>
        <x:v>-660.7947140394062</x:v>
      </x:c>
      <x:c r="Q56" s="205" t="n">
        <x:f>Q45-Q55</x:f>
        <x:v>592.16448207943</x:v>
      </x:c>
      <x:c r="R56" s="205" t="n">
        <x:f>R45-R55</x:f>
        <x:v>1970.957059509783</x:v>
      </x:c>
      <x:c r="S56" s="205" t="n">
        <x:f>S45-S55</x:f>
        <x:v>3489.8949866342227</x:v>
      </x:c>
      <x:c r="T56" s="205" t="n">
        <x:f>T45-T55</x:f>
        <x:v>5164.865811888625</x:v>
      </x:c>
      <x:c r="U56" s="205" t="n">
        <x:f>U45-U55</x:f>
        <x:v>7013.512692592962</x:v>
      </x:c>
      <x:c r="V56" s="205" t="n">
        <x:f>V45-V55</x:f>
        <x:v>9055.43508692776</x:v>
      </x:c>
      <x:c r="W56" s="205" t="n">
        <x:f>W45-W55</x:f>
        <x:v>11312.41252017353</x:v>
      </x:c>
      <x:c r="X56" s="205" t="n">
        <x:f>X45-X55</x:f>
        <x:v>13808.654119475348</x:v>
      </x:c>
      <x:c r="Y56" s="205" t="n">
        <x:f>Y45-Y55</x:f>
        <x:v>16571.076928045622</x:v>
      </x:c>
      <x:c r="Z56" s="205" t="n">
        <x:f>Z45-Z55</x:f>
        <x:v>19629.616363854948</x:v>
      </x:c>
      <x:c r="AA56" s="205" t="n">
        <x:f>AA45-AA55</x:f>
        <x:v>23017.572583938854</x:v>
      </x:c>
      <x:c r="AB56" s="205" t="n">
        <x:f>AB45-AB55</x:f>
        <x:v>26771.996958453867</x:v>
      </x:c>
      <x:c r="AC56" s="205" t="n">
        <x:f>AC45-AC55</x:f>
        <x:v>30934.123354129875</x:v>
      </x:c>
      <x:c r="AD56" s="205" t="n">
        <x:f>AD45-AD55</x:f>
        <x:v>35549.84948103419</x:v>
      </x:c>
      <x:c r="AE56" s="205" t="n">
        <x:f>AE45-AE55</x:f>
        <x:v>40670.27417657794</x:v>
      </x:c>
      <x:c r="AF56" s="205" t="n">
        <x:f>AF45-AF55</x:f>
        <x:v>46352.29719428397</x:v>
      </x:c>
      <x:c r="AG56" s="205" t="n">
        <x:f>AG45-AG55</x:f>
        <x:v>52659.288840756286</x:v>
      </x:c>
      <x:c r="AH56" s="205" t="n">
        <x:f>AH45-AH55</x:f>
        <x:v>59661.83767235318</x:v>
      </x:c>
      <x:c r="AI56" s="205" t="n">
        <x:f>AI45-AI55</x:f>
        <x:v>67438.58543424346</x:v>
      </x:c>
      <x:c r="AJ56" s="205" t="n">
        <x:f>AJ45-AJ55</x:f>
        <x:v>76077.15951110786</x:v>
      </x:c>
      <x:c r="AK56" s="205" t="n">
        <x:f>AK45-AK55</x:f>
        <x:v>85675.2143744903</x:v>
      </x:c>
    </x:row>
    <x:row r="57">
      <x:c r="A57" s="134"/>
      <x:c r="B57" s="202"/>
      <x:c r="C57" s="202"/>
      <x:c r="D57" s="202"/>
      <x:c r="E57" s="202"/>
      <x:c r="F57" s="202"/>
      <x:c r="G57" s="202"/>
      <x:c r="H57" s="202"/>
      <x:c r="I57" s="202"/>
      <x:c r="J57" s="202"/>
      <x:c r="K57" s="202"/>
      <x:c r="L57" s="202"/>
      <x:c r="M57" s="202"/>
      <x:c r="N57" s="202"/>
      <x:c r="O57" s="202"/>
      <x:c r="P57" s="202"/>
      <x:c r="Q57" s="202"/>
      <x:c r="R57" s="202"/>
      <x:c r="S57" s="202"/>
      <x:c r="T57" s="202"/>
      <x:c r="U57" s="202"/>
      <x:c r="V57" s="202"/>
      <x:c r="W57" s="202"/>
      <x:c r="X57" s="202"/>
      <x:c r="Y57" s="202"/>
      <x:c r="Z57" s="202"/>
      <x:c r="AA57" s="202"/>
      <x:c r="AB57" s="202"/>
      <x:c r="AC57" s="202"/>
      <x:c r="AD57" s="202"/>
      <x:c r="AE57" s="202"/>
      <x:c r="AF57" s="202"/>
      <x:c r="AG57" s="202"/>
      <x:c r="AH57" s="202"/>
      <x:c r="AI57" s="202"/>
      <x:c r="AJ57" s="202"/>
      <x:c r="AK57" s="202"/>
    </x:row>
    <x:row r="58">
      <x:c r="A58" s="108" t="str">
        <x:v>CASH FLOW</x:v>
      </x:c>
      <x:c r="B58" s="176" t="str">
        <x:v>CASH FLOW</x:v>
      </x:c>
      <x:c r="C58" s="176" t="str">
        <x:v>CASH FLOW</x:v>
      </x:c>
      <x:c r="D58" s="176" t="str">
        <x:v>CASH FLOW</x:v>
      </x:c>
      <x:c r="E58" s="176" t="str">
        <x:v>CASH FLOW</x:v>
      </x:c>
      <x:c r="F58" s="176" t="str">
        <x:v>CASH FLOW</x:v>
      </x:c>
      <x:c r="G58" s="176" t="str">
        <x:v>CASH FLOW</x:v>
      </x:c>
      <x:c r="H58" s="176" t="str">
        <x:v>CASH FLOW</x:v>
      </x:c>
      <x:c r="I58" s="176" t="str">
        <x:v>CASH FLOW</x:v>
      </x:c>
      <x:c r="J58" s="176" t="str">
        <x:v>CASH FLOW</x:v>
      </x:c>
      <x:c r="K58" s="176" t="str">
        <x:v>CASH FLOW</x:v>
      </x:c>
      <x:c r="L58" s="176" t="str">
        <x:v>CASH FLOW</x:v>
      </x:c>
      <x:c r="M58" s="176" t="str">
        <x:v>CASH FLOW</x:v>
      </x:c>
      <x:c r="N58" s="176" t="str">
        <x:v>CASH FLOW</x:v>
      </x:c>
      <x:c r="O58" s="176" t="str">
        <x:v>CASH FLOW</x:v>
      </x:c>
      <x:c r="P58" s="176" t="str">
        <x:v>CASH FLOW</x:v>
      </x:c>
      <x:c r="Q58" s="176" t="str">
        <x:v>CASH FLOW</x:v>
      </x:c>
      <x:c r="R58" s="176" t="str">
        <x:v>CASH FLOW</x:v>
      </x:c>
      <x:c r="S58" s="176" t="str">
        <x:v>CASH FLOW</x:v>
      </x:c>
      <x:c r="T58" s="176" t="str">
        <x:v>CASH FLOW</x:v>
      </x:c>
      <x:c r="U58" s="176" t="str">
        <x:v>CASH FLOW</x:v>
      </x:c>
      <x:c r="V58" s="176" t="str">
        <x:v>CASH FLOW</x:v>
      </x:c>
      <x:c r="W58" s="176" t="str">
        <x:v>CASH FLOW</x:v>
      </x:c>
      <x:c r="X58" s="176" t="str">
        <x:v>CASH FLOW</x:v>
      </x:c>
      <x:c r="Y58" s="176" t="str">
        <x:v>CASH FLOW</x:v>
      </x:c>
      <x:c r="Z58" s="176" t="str">
        <x:v>CASH FLOW</x:v>
      </x:c>
      <x:c r="AA58" s="176" t="str">
        <x:v>CASH FLOW</x:v>
      </x:c>
      <x:c r="AB58" s="176" t="str">
        <x:v>CASH FLOW</x:v>
      </x:c>
      <x:c r="AC58" s="176" t="str">
        <x:v>CASH FLOW</x:v>
      </x:c>
      <x:c r="AD58" s="176" t="str">
        <x:v>CASH FLOW</x:v>
      </x:c>
      <x:c r="AE58" s="176" t="str">
        <x:v>CASH FLOW</x:v>
      </x:c>
      <x:c r="AF58" s="176" t="str">
        <x:v>CASH FLOW</x:v>
      </x:c>
      <x:c r="AG58" s="176" t="str">
        <x:v>CASH FLOW</x:v>
      </x:c>
      <x:c r="AH58" s="176" t="str">
        <x:v>CASH FLOW</x:v>
      </x:c>
      <x:c r="AI58" s="176" t="str">
        <x:v>CASH FLOW</x:v>
      </x:c>
      <x:c r="AJ58" s="176" t="str">
        <x:v>CASH FLOW</x:v>
      </x:c>
      <x:c r="AK58" s="176" t="str">
        <x:v>CASH FLOW</x:v>
      </x:c>
    </x:row>
    <x:row r="59">
      <x:c r="A59" s="134" t="str">
        <x:v>Beginning cash</x:v>
      </x:c>
      <x:c r="B59" s="203" t="n">
        <x:f>'Assumptions'!$F$35</x:f>
        <x:v>50000</x:v>
      </x:c>
      <x:c r="C59" s="203" t="n">
        <x:f>B62</x:f>
        <x:v>46121.2532</x:v>
      </x:c>
      <x:c r="D59" s="203" t="n">
        <x:f>C62</x:f>
        <x:v>42654.393844</x:v>
      </x:c>
      <x:c r="E59" s="203" t="n">
        <x:f>D62</x:f>
        <x:v>39623.737551239996</x:v>
      </x:c>
      <x:c r="F59" s="203" t="n">
        <x:f>E62</x:f>
        <x:v>37057.17294187399</x:v>
      </x:c>
      <x:c r="G59" s="203" t="n">
        <x:f>F62</x:f>
        <x:v>34986.503135630446</x:v>
      </x:c>
      <x:c r="H59" s="203" t="n">
        <x:f>G62</x:f>
        <x:v>33447.82778504426</x:v>
      </x:c>
      <x:c r="I59" s="203" t="n">
        <x:f>H62</x:f>
        <x:v>28481.970065232028</x:v>
      </x:c>
      <x:c r="J59" s="203" t="n">
        <x:f>I62</x:f>
        <x:v>24134.953558316054</x:v>
      </x:c>
      <x:c r="K59" s="203" t="n">
        <x:f>J62</x:f>
        <x:v>20458.53454614021</x:v>
      </x:c>
      <x:c r="L59" s="203" t="n">
        <x:f>K62</x:f>
        <x:v>15010.79586686033</x:v>
      </x:c>
      <x:c r="M59" s="203" t="n">
        <x:f>L62</x:f>
        <x:v>10356.809207157385</x:v>
      </x:c>
      <x:c r="N59" s="203" t="n">
        <x:f>M62</x:f>
        <x:v>6569.373500958904</x:v>
      </x:c>
      <x:c r="O59" s="203" t="n">
        <x:f>N62</x:f>
        <x:v>153729.8379974416</x:v>
      </x:c>
      <x:c r="P59" s="203" t="n">
        <x:f>O62</x:f>
        <x:v>151929.01955665916</x:v>
      </x:c>
      <x:c r="Q59" s="203" t="n">
        <x:f>P62</x:f>
        <x:v>151268.22484261976</x:v>
      </x:c>
      <x:c r="R59" s="203" t="n">
        <x:f>Q62</x:f>
        <x:v>151860.38932469918</x:v>
      </x:c>
      <x:c r="S59" s="203" t="n">
        <x:f>R62</x:f>
        <x:v>153831.34638420897</x:v>
      </x:c>
      <x:c r="T59" s="203" t="n">
        <x:f>S62</x:f>
        <x:v>157321.2413708432</x:v>
      </x:c>
      <x:c r="U59" s="203" t="n">
        <x:f>T62</x:f>
        <x:v>162486.10718273182</x:v>
      </x:c>
      <x:c r="V59" s="203" t="n">
        <x:f>U62</x:f>
        <x:v>169499.61987532477</x:v>
      </x:c>
      <x:c r="W59" s="203" t="n">
        <x:f>V62</x:f>
        <x:v>178555.05496225253</x:v>
      </x:c>
      <x:c r="X59" s="203" t="n">
        <x:f>W62</x:f>
        <x:v>189867.46748242606</x:v>
      </x:c>
      <x:c r="Y59" s="203" t="n">
        <x:f>X62</x:f>
        <x:v>203676.1216019014</x:v>
      </x:c>
      <x:c r="Z59" s="203" t="n">
        <x:f>Y62</x:f>
        <x:v>220247.19852994703</x:v>
      </x:c>
      <x:c r="AA59" s="203" t="n">
        <x:f>Z62</x:f>
        <x:v>239876.814893802</x:v>
      </x:c>
      <x:c r="AB59" s="203" t="n">
        <x:f>AA62</x:f>
        <x:v>262894.3874777408</x:v>
      </x:c>
      <x:c r="AC59" s="203" t="n">
        <x:f>AB62</x:f>
        <x:v>289666.38443619467</x:v>
      </x:c>
      <x:c r="AD59" s="203" t="n">
        <x:f>AC62</x:f>
        <x:v>320600.50779032457</x:v>
      </x:c>
      <x:c r="AE59" s="203" t="n">
        <x:f>AD62</x:f>
        <x:v>356150.3572713588</x:v>
      </x:c>
      <x:c r="AF59" s="203" t="n">
        <x:f>AE62</x:f>
        <x:v>396820.6314479367</x:v>
      </x:c>
      <x:c r="AG59" s="203" t="n">
        <x:f>AF62</x:f>
        <x:v>443172.9286422207</x:v>
      </x:c>
      <x:c r="AH59" s="203" t="n">
        <x:f>AG62</x:f>
        <x:v>495832.21748297696</x:v>
      </x:c>
      <x:c r="AI59" s="203" t="n">
        <x:f>AH62</x:f>
        <x:v>555494.0551553301</x:v>
      </x:c>
      <x:c r="AJ59" s="203" t="n">
        <x:f>AI62</x:f>
        <x:v>622932.6405895735</x:v>
      </x:c>
      <x:c r="AK59" s="203" t="n">
        <x:f>AJ62</x:f>
        <x:v>699009.8001006814</x:v>
      </x:c>
    </x:row>
    <x:row r="60">
      <x:c r="A60" s="134" t="str">
        <x:v>Operating cash flow</x:v>
      </x:c>
      <x:c r="B60" s="204" t="n">
        <x:f>B56</x:f>
        <x:v>-3878.7468</x:v>
      </x:c>
      <x:c r="C60" s="204" t="n">
        <x:f>C56</x:f>
        <x:v>-3466.859356</x:v>
      </x:c>
      <x:c r="D60" s="204" t="n">
        <x:f>D56</x:f>
        <x:v>-3030.65629276</x:v>
      </x:c>
      <x:c r="E60" s="204" t="n">
        <x:f>E56</x:f>
        <x:v>-2566.5646093660002</x:v>
      </x:c>
      <x:c r="F60" s="204" t="n">
        <x:f>F56</x:f>
        <x:v>-2070.669806243547</x:v>
      </x:c>
      <x:c r="G60" s="204" t="n">
        <x:f>G56</x:f>
        <x:v>-1538.675350586187</x:v>
      </x:c>
      <x:c r="H60" s="204" t="n">
        <x:f>H56</x:f>
        <x:v>-4965.857719812234</x:v>
      </x:c>
      <x:c r="I60" s="204" t="n">
        <x:f>I56</x:f>
        <x:v>-4347.016506915973</x:v>
      </x:c>
      <x:c r="J60" s="204" t="n">
        <x:f>J56</x:f>
        <x:v>-3676.4190121758447</x:v>
      </x:c>
      <x:c r="K60" s="204" t="n">
        <x:f>K56</x:f>
        <x:v>-5447.738679279881</x:v>
      </x:c>
      <x:c r="L60" s="204" t="n">
        <x:f>L56</x:f>
        <x:v>-4653.986659702946</x:v>
      </x:c>
      <x:c r="M60" s="204" t="n">
        <x:f>M56</x:f>
        <x:v>-3787.435706198481</x:v>
      </x:c>
      <x:c r="N60" s="204" t="n">
        <x:f>N56</x:f>
        <x:v>-2839.5355035173106</x:v>
      </x:c>
      <x:c r="O60" s="204" t="n">
        <x:f>O56</x:f>
        <x:v>-1800.818440782432</x:v>
      </x:c>
      <x:c r="P60" s="204" t="n">
        <x:f>P56</x:f>
        <x:v>-660.7947140394062</x:v>
      </x:c>
      <x:c r="Q60" s="204" t="n">
        <x:f>Q56</x:f>
        <x:v>592.16448207943</x:v>
      </x:c>
      <x:c r="R60" s="204" t="n">
        <x:f>R56</x:f>
        <x:v>1970.957059509783</x:v>
      </x:c>
      <x:c r="S60" s="204" t="n">
        <x:f>S56</x:f>
        <x:v>3489.8949866342227</x:v>
      </x:c>
      <x:c r="T60" s="204" t="n">
        <x:f>T56</x:f>
        <x:v>5164.865811888625</x:v>
      </x:c>
      <x:c r="U60" s="204" t="n">
        <x:f>U56</x:f>
        <x:v>7013.512692592962</x:v>
      </x:c>
      <x:c r="V60" s="204" t="n">
        <x:f>V56</x:f>
        <x:v>9055.43508692776</x:v>
      </x:c>
      <x:c r="W60" s="204" t="n">
        <x:f>W56</x:f>
        <x:v>11312.41252017353</x:v>
      </x:c>
      <x:c r="X60" s="204" t="n">
        <x:f>X56</x:f>
        <x:v>13808.654119475348</x:v>
      </x:c>
      <x:c r="Y60" s="204" t="n">
        <x:f>Y56</x:f>
        <x:v>16571.076928045622</x:v>
      </x:c>
      <x:c r="Z60" s="204" t="n">
        <x:f>Z56</x:f>
        <x:v>19629.616363854948</x:v>
      </x:c>
      <x:c r="AA60" s="204" t="n">
        <x:f>AA56</x:f>
        <x:v>23017.572583938854</x:v>
      </x:c>
      <x:c r="AB60" s="204" t="n">
        <x:f>AB56</x:f>
        <x:v>26771.996958453867</x:v>
      </x:c>
      <x:c r="AC60" s="204" t="n">
        <x:f>AC56</x:f>
        <x:v>30934.123354129875</x:v>
      </x:c>
      <x:c r="AD60" s="204" t="n">
        <x:f>AD56</x:f>
        <x:v>35549.84948103419</x:v>
      </x:c>
      <x:c r="AE60" s="204" t="n">
        <x:f>AE56</x:f>
        <x:v>40670.27417657794</x:v>
      </x:c>
      <x:c r="AF60" s="204" t="n">
        <x:f>AF56</x:f>
        <x:v>46352.29719428397</x:v>
      </x:c>
      <x:c r="AG60" s="204" t="n">
        <x:f>AG56</x:f>
        <x:v>52659.288840756286</x:v>
      </x:c>
      <x:c r="AH60" s="204" t="n">
        <x:f>AH56</x:f>
        <x:v>59661.83767235318</x:v>
      </x:c>
      <x:c r="AI60" s="204" t="n">
        <x:f>AI56</x:f>
        <x:v>67438.58543424346</x:v>
      </x:c>
      <x:c r="AJ60" s="204" t="n">
        <x:f>AJ56</x:f>
        <x:v>76077.15951110786</x:v>
      </x:c>
      <x:c r="AK60" s="204" t="n">
        <x:f>AK56</x:f>
        <x:v>85675.2143744903</x:v>
      </x:c>
    </x:row>
    <x:row r="61">
      <x:c r="A61" s="134" t="str">
        <x:v>Financing</x:v>
      </x:c>
      <x:c r="B61" s="203" t="n">
        <x:f>IF(B$5='Assumptions'!$F$37,'Assumptions'!$F$36,0)</x:f>
        <x:v>0</x:v>
      </x:c>
      <x:c r="C61" s="203" t="n">
        <x:f>IF(C$5='Assumptions'!$F$37,'Assumptions'!$F$36,0)</x:f>
        <x:v>0</x:v>
      </x:c>
      <x:c r="D61" s="203" t="n">
        <x:f>IF(D$5='Assumptions'!$F$37,'Assumptions'!$F$36,0)</x:f>
        <x:v>0</x:v>
      </x:c>
      <x:c r="E61" s="203" t="n">
        <x:f>IF(E$5='Assumptions'!$F$37,'Assumptions'!$F$36,0)</x:f>
        <x:v>0</x:v>
      </x:c>
      <x:c r="F61" s="203" t="n">
        <x:f>IF(F$5='Assumptions'!$F$37,'Assumptions'!$F$36,0)</x:f>
        <x:v>0</x:v>
      </x:c>
      <x:c r="G61" s="203" t="n">
        <x:f>IF(G$5='Assumptions'!$F$37,'Assumptions'!$F$36,0)</x:f>
        <x:v>0</x:v>
      </x:c>
      <x:c r="H61" s="203" t="n">
        <x:f>IF(H$5='Assumptions'!$F$37,'Assumptions'!$F$36,0)</x:f>
        <x:v>0</x:v>
      </x:c>
      <x:c r="I61" s="203" t="n">
        <x:f>IF(I$5='Assumptions'!$F$37,'Assumptions'!$F$36,0)</x:f>
        <x:v>0</x:v>
      </x:c>
      <x:c r="J61" s="203" t="n">
        <x:f>IF(J$5='Assumptions'!$F$37,'Assumptions'!$F$36,0)</x:f>
        <x:v>0</x:v>
      </x:c>
      <x:c r="K61" s="203" t="n">
        <x:f>IF(K$5='Assumptions'!$F$37,'Assumptions'!$F$36,0)</x:f>
        <x:v>0</x:v>
      </x:c>
      <x:c r="L61" s="203" t="n">
        <x:f>IF(L$5='Assumptions'!$F$37,'Assumptions'!$F$36,0)</x:f>
        <x:v>0</x:v>
      </x:c>
      <x:c r="M61" s="203" t="n">
        <x:f>IF(M$5='Assumptions'!$F$37,'Assumptions'!$F$36,0)</x:f>
        <x:v>0</x:v>
      </x:c>
      <x:c r="N61" s="203" t="n">
        <x:f>IF(N$5='Assumptions'!$F$37,'Assumptions'!$F$36,0)</x:f>
        <x:v>150000</x:v>
      </x:c>
      <x:c r="O61" s="203" t="n">
        <x:f>IF(O$5='Assumptions'!$F$37,'Assumptions'!$F$36,0)</x:f>
        <x:v>0</x:v>
      </x:c>
      <x:c r="P61" s="203" t="n">
        <x:f>IF(P$5='Assumptions'!$F$37,'Assumptions'!$F$36,0)</x:f>
        <x:v>0</x:v>
      </x:c>
      <x:c r="Q61" s="203" t="n">
        <x:f>IF(Q$5='Assumptions'!$F$37,'Assumptions'!$F$36,0)</x:f>
        <x:v>0</x:v>
      </x:c>
      <x:c r="R61" s="203" t="n">
        <x:f>IF(R$5='Assumptions'!$F$37,'Assumptions'!$F$36,0)</x:f>
        <x:v>0</x:v>
      </x:c>
      <x:c r="S61" s="203" t="n">
        <x:f>IF(S$5='Assumptions'!$F$37,'Assumptions'!$F$36,0)</x:f>
        <x:v>0</x:v>
      </x:c>
      <x:c r="T61" s="203" t="n">
        <x:f>IF(T$5='Assumptions'!$F$37,'Assumptions'!$F$36,0)</x:f>
        <x:v>0</x:v>
      </x:c>
      <x:c r="U61" s="203" t="n">
        <x:f>IF(U$5='Assumptions'!$F$37,'Assumptions'!$F$36,0)</x:f>
        <x:v>0</x:v>
      </x:c>
      <x:c r="V61" s="203" t="n">
        <x:f>IF(V$5='Assumptions'!$F$37,'Assumptions'!$F$36,0)</x:f>
        <x:v>0</x:v>
      </x:c>
      <x:c r="W61" s="203" t="n">
        <x:f>IF(W$5='Assumptions'!$F$37,'Assumptions'!$F$36,0)</x:f>
        <x:v>0</x:v>
      </x:c>
      <x:c r="X61" s="203" t="n">
        <x:f>IF(X$5='Assumptions'!$F$37,'Assumptions'!$F$36,0)</x:f>
        <x:v>0</x:v>
      </x:c>
      <x:c r="Y61" s="203" t="n">
        <x:f>IF(Y$5='Assumptions'!$F$37,'Assumptions'!$F$36,0)</x:f>
        <x:v>0</x:v>
      </x:c>
      <x:c r="Z61" s="203" t="n">
        <x:f>IF(Z$5='Assumptions'!$F$37,'Assumptions'!$F$36,0)</x:f>
        <x:v>0</x:v>
      </x:c>
      <x:c r="AA61" s="203" t="n">
        <x:f>IF(AA$5='Assumptions'!$F$37,'Assumptions'!$F$36,0)</x:f>
        <x:v>0</x:v>
      </x:c>
      <x:c r="AB61" s="203" t="n">
        <x:f>IF(AB$5='Assumptions'!$F$37,'Assumptions'!$F$36,0)</x:f>
        <x:v>0</x:v>
      </x:c>
      <x:c r="AC61" s="203" t="n">
        <x:f>IF(AC$5='Assumptions'!$F$37,'Assumptions'!$F$36,0)</x:f>
        <x:v>0</x:v>
      </x:c>
      <x:c r="AD61" s="203" t="n">
        <x:f>IF(AD$5='Assumptions'!$F$37,'Assumptions'!$F$36,0)</x:f>
        <x:v>0</x:v>
      </x:c>
      <x:c r="AE61" s="203" t="n">
        <x:f>IF(AE$5='Assumptions'!$F$37,'Assumptions'!$F$36,0)</x:f>
        <x:v>0</x:v>
      </x:c>
      <x:c r="AF61" s="203" t="n">
        <x:f>IF(AF$5='Assumptions'!$F$37,'Assumptions'!$F$36,0)</x:f>
        <x:v>0</x:v>
      </x:c>
      <x:c r="AG61" s="203" t="n">
        <x:f>IF(AG$5='Assumptions'!$F$37,'Assumptions'!$F$36,0)</x:f>
        <x:v>0</x:v>
      </x:c>
      <x:c r="AH61" s="203" t="n">
        <x:f>IF(AH$5='Assumptions'!$F$37,'Assumptions'!$F$36,0)</x:f>
        <x:v>0</x:v>
      </x:c>
      <x:c r="AI61" s="203" t="n">
        <x:f>IF(AI$5='Assumptions'!$F$37,'Assumptions'!$F$36,0)</x:f>
        <x:v>0</x:v>
      </x:c>
      <x:c r="AJ61" s="203" t="n">
        <x:f>IF(AJ$5='Assumptions'!$F$37,'Assumptions'!$F$36,0)</x:f>
        <x:v>0</x:v>
      </x:c>
      <x:c r="AK61" s="203" t="n">
        <x:f>IF(AK$5='Assumptions'!$F$37,'Assumptions'!$F$36,0)</x:f>
        <x:v>0</x:v>
      </x:c>
    </x:row>
    <x:row r="62">
      <x:c r="A62" s="150" t="str">
        <x:v>Ending cash</x:v>
      </x:c>
      <x:c r="B62" s="205" t="n">
        <x:f>B59+B60+B61</x:f>
        <x:v>46121.2532</x:v>
      </x:c>
      <x:c r="C62" s="205" t="n">
        <x:f>C59+C60+C61</x:f>
        <x:v>42654.393844</x:v>
      </x:c>
      <x:c r="D62" s="205" t="n">
        <x:f>D59+D60+D61</x:f>
        <x:v>39623.737551239996</x:v>
      </x:c>
      <x:c r="E62" s="205" t="n">
        <x:f>E59+E60+E61</x:f>
        <x:v>37057.17294187399</x:v>
      </x:c>
      <x:c r="F62" s="205" t="n">
        <x:f>F59+F60+F61</x:f>
        <x:v>34986.503135630446</x:v>
      </x:c>
      <x:c r="G62" s="205" t="n">
        <x:f>G59+G60+G61</x:f>
        <x:v>33447.82778504426</x:v>
      </x:c>
      <x:c r="H62" s="205" t="n">
        <x:f>H59+H60+H61</x:f>
        <x:v>28481.970065232028</x:v>
      </x:c>
      <x:c r="I62" s="205" t="n">
        <x:f>I59+I60+I61</x:f>
        <x:v>24134.953558316054</x:v>
      </x:c>
      <x:c r="J62" s="205" t="n">
        <x:f>J59+J60+J61</x:f>
        <x:v>20458.53454614021</x:v>
      </x:c>
      <x:c r="K62" s="205" t="n">
        <x:f>K59+K60+K61</x:f>
        <x:v>15010.79586686033</x:v>
      </x:c>
      <x:c r="L62" s="205" t="n">
        <x:f>L59+L60+L61</x:f>
        <x:v>10356.809207157385</x:v>
      </x:c>
      <x:c r="M62" s="205" t="n">
        <x:f>M59+M60+M61</x:f>
        <x:v>6569.373500958904</x:v>
      </x:c>
      <x:c r="N62" s="205" t="n">
        <x:f>N59+N60+N61</x:f>
        <x:v>153729.8379974416</x:v>
      </x:c>
      <x:c r="O62" s="205" t="n">
        <x:f>O59+O60+O61</x:f>
        <x:v>151929.01955665916</x:v>
      </x:c>
      <x:c r="P62" s="205" t="n">
        <x:f>P59+P60+P61</x:f>
        <x:v>151268.22484261976</x:v>
      </x:c>
      <x:c r="Q62" s="205" t="n">
        <x:f>Q59+Q60+Q61</x:f>
        <x:v>151860.38932469918</x:v>
      </x:c>
      <x:c r="R62" s="205" t="n">
        <x:f>R59+R60+R61</x:f>
        <x:v>153831.34638420897</x:v>
      </x:c>
      <x:c r="S62" s="205" t="n">
        <x:f>S59+S60+S61</x:f>
        <x:v>157321.2413708432</x:v>
      </x:c>
      <x:c r="T62" s="205" t="n">
        <x:f>T59+T60+T61</x:f>
        <x:v>162486.10718273182</x:v>
      </x:c>
      <x:c r="U62" s="205" t="n">
        <x:f>U59+U60+U61</x:f>
        <x:v>169499.61987532477</x:v>
      </x:c>
      <x:c r="V62" s="205" t="n">
        <x:f>V59+V60+V61</x:f>
        <x:v>178555.05496225253</x:v>
      </x:c>
      <x:c r="W62" s="205" t="n">
        <x:f>W59+W60+W61</x:f>
        <x:v>189867.46748242606</x:v>
      </x:c>
      <x:c r="X62" s="205" t="n">
        <x:f>X59+X60+X61</x:f>
        <x:v>203676.1216019014</x:v>
      </x:c>
      <x:c r="Y62" s="205" t="n">
        <x:f>Y59+Y60+Y61</x:f>
        <x:v>220247.19852994703</x:v>
      </x:c>
      <x:c r="Z62" s="205" t="n">
        <x:f>Z59+Z60+Z61</x:f>
        <x:v>239876.814893802</x:v>
      </x:c>
      <x:c r="AA62" s="205" t="n">
        <x:f>AA59+AA60+AA61</x:f>
        <x:v>262894.3874777408</x:v>
      </x:c>
      <x:c r="AB62" s="205" t="n">
        <x:f>AB59+AB60+AB61</x:f>
        <x:v>289666.38443619467</x:v>
      </x:c>
      <x:c r="AC62" s="205" t="n">
        <x:f>AC59+AC60+AC61</x:f>
        <x:v>320600.50779032457</x:v>
      </x:c>
      <x:c r="AD62" s="205" t="n">
        <x:f>AD59+AD60+AD61</x:f>
        <x:v>356150.3572713588</x:v>
      </x:c>
      <x:c r="AE62" s="205" t="n">
        <x:f>AE59+AE60+AE61</x:f>
        <x:v>396820.6314479367</x:v>
      </x:c>
      <x:c r="AF62" s="205" t="n">
        <x:f>AF59+AF60+AF61</x:f>
        <x:v>443172.9286422207</x:v>
      </x:c>
      <x:c r="AG62" s="205" t="n">
        <x:f>AG59+AG60+AG61</x:f>
        <x:v>495832.21748297696</x:v>
      </x:c>
      <x:c r="AH62" s="205" t="n">
        <x:f>AH59+AH60+AH61</x:f>
        <x:v>555494.0551553301</x:v>
      </x:c>
      <x:c r="AI62" s="205" t="n">
        <x:f>AI59+AI60+AI61</x:f>
        <x:v>622932.6405895735</x:v>
      </x:c>
      <x:c r="AJ62" s="205" t="n">
        <x:f>AJ59+AJ60+AJ61</x:f>
        <x:v>699009.8001006814</x:v>
      </x:c>
      <x:c r="AK62" s="205" t="n">
        <x:f>AK59+AK60+AK61</x:f>
        <x:v>784685.0144751717</x:v>
      </x:c>
    </x:row>
    <x:row r="63">
      <x:c r="A63" s="134" t="str">
        <x:v>Cash burn (before financing)</x:v>
      </x:c>
      <x:c r="B63" s="204" t="n">
        <x:f>MAX(0,-B60)</x:f>
        <x:v>3878.7468</x:v>
      </x:c>
      <x:c r="C63" s="204" t="n">
        <x:f>MAX(0,-C60)</x:f>
        <x:v>3466.859356</x:v>
      </x:c>
      <x:c r="D63" s="204" t="n">
        <x:f>MAX(0,-D60)</x:f>
        <x:v>3030.65629276</x:v>
      </x:c>
      <x:c r="E63" s="204" t="n">
        <x:f>MAX(0,-E60)</x:f>
        <x:v>2566.5646093660002</x:v>
      </x:c>
      <x:c r="F63" s="204" t="n">
        <x:f>MAX(0,-F60)</x:f>
        <x:v>2070.669806243547</x:v>
      </x:c>
      <x:c r="G63" s="204" t="n">
        <x:f>MAX(0,-G60)</x:f>
        <x:v>1538.675350586187</x:v>
      </x:c>
      <x:c r="H63" s="204" t="n">
        <x:f>MAX(0,-H60)</x:f>
        <x:v>4965.857719812234</x:v>
      </x:c>
      <x:c r="I63" s="204" t="n">
        <x:f>MAX(0,-I60)</x:f>
        <x:v>4347.016506915973</x:v>
      </x:c>
      <x:c r="J63" s="204" t="n">
        <x:f>MAX(0,-J60)</x:f>
        <x:v>3676.4190121758447</x:v>
      </x:c>
      <x:c r="K63" s="204" t="n">
        <x:f>MAX(0,-K60)</x:f>
        <x:v>5447.738679279881</x:v>
      </x:c>
      <x:c r="L63" s="204" t="n">
        <x:f>MAX(0,-L60)</x:f>
        <x:v>4653.986659702946</x:v>
      </x:c>
      <x:c r="M63" s="204" t="n">
        <x:f>MAX(0,-M60)</x:f>
        <x:v>3787.435706198481</x:v>
      </x:c>
      <x:c r="N63" s="204" t="n">
        <x:f>MAX(0,-N60)</x:f>
        <x:v>2839.5355035173106</x:v>
      </x:c>
      <x:c r="O63" s="204" t="n">
        <x:f>MAX(0,-O60)</x:f>
        <x:v>1800.818440782432</x:v>
      </x:c>
      <x:c r="P63" s="204" t="n">
        <x:f>MAX(0,-P60)</x:f>
        <x:v>660.7947140394062</x:v>
      </x:c>
      <x:c r="Q63" s="204" t="n">
        <x:f>MAX(0,-Q60)</x:f>
        <x:v>0</x:v>
      </x:c>
      <x:c r="R63" s="204" t="n">
        <x:f>MAX(0,-R60)</x:f>
        <x:v>0</x:v>
      </x:c>
      <x:c r="S63" s="204" t="n">
        <x:f>MAX(0,-S60)</x:f>
        <x:v>0</x:v>
      </x:c>
      <x:c r="T63" s="204" t="n">
        <x:f>MAX(0,-T60)</x:f>
        <x:v>0</x:v>
      </x:c>
      <x:c r="U63" s="204" t="n">
        <x:f>MAX(0,-U60)</x:f>
        <x:v>0</x:v>
      </x:c>
      <x:c r="V63" s="204" t="n">
        <x:f>MAX(0,-V60)</x:f>
        <x:v>0</x:v>
      </x:c>
      <x:c r="W63" s="204" t="n">
        <x:f>MAX(0,-W60)</x:f>
        <x:v>0</x:v>
      </x:c>
      <x:c r="X63" s="204" t="n">
        <x:f>MAX(0,-X60)</x:f>
        <x:v>0</x:v>
      </x:c>
      <x:c r="Y63" s="204" t="n">
        <x:f>MAX(0,-Y60)</x:f>
        <x:v>0</x:v>
      </x:c>
      <x:c r="Z63" s="204" t="n">
        <x:f>MAX(0,-Z60)</x:f>
        <x:v>0</x:v>
      </x:c>
      <x:c r="AA63" s="204" t="n">
        <x:f>MAX(0,-AA60)</x:f>
        <x:v>0</x:v>
      </x:c>
      <x:c r="AB63" s="204" t="n">
        <x:f>MAX(0,-AB60)</x:f>
        <x:v>0</x:v>
      </x:c>
      <x:c r="AC63" s="204" t="n">
        <x:f>MAX(0,-AC60)</x:f>
        <x:v>0</x:v>
      </x:c>
      <x:c r="AD63" s="204" t="n">
        <x:f>MAX(0,-AD60)</x:f>
        <x:v>0</x:v>
      </x:c>
      <x:c r="AE63" s="204" t="n">
        <x:f>MAX(0,-AE60)</x:f>
        <x:v>0</x:v>
      </x:c>
      <x:c r="AF63" s="204" t="n">
        <x:f>MAX(0,-AF60)</x:f>
        <x:v>0</x:v>
      </x:c>
      <x:c r="AG63" s="204" t="n">
        <x:f>MAX(0,-AG60)</x:f>
        <x:v>0</x:v>
      </x:c>
      <x:c r="AH63" s="204" t="n">
        <x:f>MAX(0,-AH60)</x:f>
        <x:v>0</x:v>
      </x:c>
      <x:c r="AI63" s="204" t="n">
        <x:f>MAX(0,-AI60)</x:f>
        <x:v>0</x:v>
      </x:c>
      <x:c r="AJ63" s="204" t="n">
        <x:f>MAX(0,-AJ60)</x:f>
        <x:v>0</x:v>
      </x:c>
      <x:c r="AK63" s="204" t="n">
        <x:f>MAX(0,-AK60)</x:f>
        <x:v>0</x:v>
      </x:c>
    </x:row>
    <x:row r="64">
      <x:c r="A64" s="134" t="str">
        <x:v>EBITDA-positive flag</x:v>
      </x:c>
      <x:c r="B64" s="200" t="n">
        <x:f>IF(B56&gt;0,1,0)</x:f>
        <x:v>0</x:v>
      </x:c>
      <x:c r="C64" s="200" t="n">
        <x:f>IF(C56&gt;0,1,0)</x:f>
        <x:v>0</x:v>
      </x:c>
      <x:c r="D64" s="200" t="n">
        <x:f>IF(D56&gt;0,1,0)</x:f>
        <x:v>0</x:v>
      </x:c>
      <x:c r="E64" s="200" t="n">
        <x:f>IF(E56&gt;0,1,0)</x:f>
        <x:v>0</x:v>
      </x:c>
      <x:c r="F64" s="200" t="n">
        <x:f>IF(F56&gt;0,1,0)</x:f>
        <x:v>0</x:v>
      </x:c>
      <x:c r="G64" s="200" t="n">
        <x:f>IF(G56&gt;0,1,0)</x:f>
        <x:v>0</x:v>
      </x:c>
      <x:c r="H64" s="200" t="n">
        <x:f>IF(H56&gt;0,1,0)</x:f>
        <x:v>0</x:v>
      </x:c>
      <x:c r="I64" s="200" t="n">
        <x:f>IF(I56&gt;0,1,0)</x:f>
        <x:v>0</x:v>
      </x:c>
      <x:c r="J64" s="200" t="n">
        <x:f>IF(J56&gt;0,1,0)</x:f>
        <x:v>0</x:v>
      </x:c>
      <x:c r="K64" s="200" t="n">
        <x:f>IF(K56&gt;0,1,0)</x:f>
        <x:v>0</x:v>
      </x:c>
      <x:c r="L64" s="200" t="n">
        <x:f>IF(L56&gt;0,1,0)</x:f>
        <x:v>0</x:v>
      </x:c>
      <x:c r="M64" s="200" t="n">
        <x:f>IF(M56&gt;0,1,0)</x:f>
        <x:v>0</x:v>
      </x:c>
      <x:c r="N64" s="200" t="n">
        <x:f>IF(N56&gt;0,1,0)</x:f>
        <x:v>0</x:v>
      </x:c>
      <x:c r="O64" s="200" t="n">
        <x:f>IF(O56&gt;0,1,0)</x:f>
        <x:v>0</x:v>
      </x:c>
      <x:c r="P64" s="200" t="n">
        <x:f>IF(P56&gt;0,1,0)</x:f>
        <x:v>0</x:v>
      </x:c>
      <x:c r="Q64" s="200" t="n">
        <x:f>IF(Q56&gt;0,1,0)</x:f>
        <x:v>1</x:v>
      </x:c>
      <x:c r="R64" s="200" t="n">
        <x:f>IF(R56&gt;0,1,0)</x:f>
        <x:v>1</x:v>
      </x:c>
      <x:c r="S64" s="200" t="n">
        <x:f>IF(S56&gt;0,1,0)</x:f>
        <x:v>1</x:v>
      </x:c>
      <x:c r="T64" s="200" t="n">
        <x:f>IF(T56&gt;0,1,0)</x:f>
        <x:v>1</x:v>
      </x:c>
      <x:c r="U64" s="200" t="n">
        <x:f>IF(U56&gt;0,1,0)</x:f>
        <x:v>1</x:v>
      </x:c>
      <x:c r="V64" s="200" t="n">
        <x:f>IF(V56&gt;0,1,0)</x:f>
        <x:v>1</x:v>
      </x:c>
      <x:c r="W64" s="200" t="n">
        <x:f>IF(W56&gt;0,1,0)</x:f>
        <x:v>1</x:v>
      </x:c>
      <x:c r="X64" s="200" t="n">
        <x:f>IF(X56&gt;0,1,0)</x:f>
        <x:v>1</x:v>
      </x:c>
      <x:c r="Y64" s="200" t="n">
        <x:f>IF(Y56&gt;0,1,0)</x:f>
        <x:v>1</x:v>
      </x:c>
      <x:c r="Z64" s="200" t="n">
        <x:f>IF(Z56&gt;0,1,0)</x:f>
        <x:v>1</x:v>
      </x:c>
      <x:c r="AA64" s="200" t="n">
        <x:f>IF(AA56&gt;0,1,0)</x:f>
        <x:v>1</x:v>
      </x:c>
      <x:c r="AB64" s="200" t="n">
        <x:f>IF(AB56&gt;0,1,0)</x:f>
        <x:v>1</x:v>
      </x:c>
      <x:c r="AC64" s="200" t="n">
        <x:f>IF(AC56&gt;0,1,0)</x:f>
        <x:v>1</x:v>
      </x:c>
      <x:c r="AD64" s="200" t="n">
        <x:f>IF(AD56&gt;0,1,0)</x:f>
        <x:v>1</x:v>
      </x:c>
      <x:c r="AE64" s="200" t="n">
        <x:f>IF(AE56&gt;0,1,0)</x:f>
        <x:v>1</x:v>
      </x:c>
      <x:c r="AF64" s="200" t="n">
        <x:f>IF(AF56&gt;0,1,0)</x:f>
        <x:v>1</x:v>
      </x:c>
      <x:c r="AG64" s="200" t="n">
        <x:f>IF(AG56&gt;0,1,0)</x:f>
        <x:v>1</x:v>
      </x:c>
      <x:c r="AH64" s="200" t="n">
        <x:f>IF(AH56&gt;0,1,0)</x:f>
        <x:v>1</x:v>
      </x:c>
      <x:c r="AI64" s="200" t="n">
        <x:f>IF(AI56&gt;0,1,0)</x:f>
        <x:v>1</x:v>
      </x:c>
      <x:c r="AJ64" s="200" t="n">
        <x:f>IF(AJ56&gt;0,1,0)</x:f>
        <x:v>1</x:v>
      </x:c>
      <x:c r="AK64" s="200" t="n">
        <x:f>IF(AK56&gt;0,1,0)</x:f>
        <x:v>1</x:v>
      </x:c>
    </x:row>
  </x:sheetData>
  <x:mergeCells>
    <x:mergeCell ref="A1:AK1"/>
    <x:mergeCell ref="A2:AK2"/>
    <x:mergeCell ref="A7:AK7"/>
    <x:mergeCell ref="A18:AK18"/>
    <x:mergeCell ref="A27:AK27"/>
    <x:mergeCell ref="A35:AK35"/>
    <x:mergeCell ref="A48:AK48"/>
    <x:mergeCell ref="A58:AK5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</x:cols>
  <x:sheetData>
    <x:row r="1" ht="34" customHeight="1">
      <x:c r="A1" s="241" t="str">
        <x:v>Scenario Comparison</x:v>
      </x:c>
      <x:c r="B1" s="241" t="str">
        <x:v>Scenario Comparison</x:v>
      </x:c>
      <x:c r="C1" s="241" t="str">
        <x:v>Scenario Comparison</x:v>
      </x:c>
      <x:c r="D1" s="241" t="str">
        <x:v>Scenario Comparison</x:v>
      </x:c>
      <x:c r="E1" s="241" t="str">
        <x:v>Scenario Comparison</x:v>
      </x:c>
      <x:c r="F1" s="241" t="str">
        <x:v>Scenario Comparison</x:v>
      </x:c>
      <x:c r="G1" s="241" t="str">
        <x:v>Scenario Comparison</x:v>
      </x:c>
      <x:c r="H1" s="241" t="str">
        <x:v>Scenario Comparison</x:v>
      </x:c>
      <x:c r="I1" s="241" t="str">
        <x:v>Scenario Comparison</x:v>
      </x:c>
      <x:c r="J1" s="241" t="str">
        <x:v>Scenario Comparison</x:v>
      </x:c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  <x:c r="X1" s="134"/>
      <x:c r="Y1" s="134"/>
      <x:c r="Z1" s="134"/>
      <x:c r="AA1" s="134"/>
      <x:c r="AB1" s="134"/>
      <x:c r="AC1" s="134"/>
      <x:c r="AD1" s="134"/>
      <x:c r="AE1" s="134"/>
      <x:c r="AF1" s="134"/>
      <x:c r="AG1" s="134"/>
      <x:c r="AH1" s="134"/>
      <x:c r="AI1" s="134"/>
      <x:c r="AJ1" s="134"/>
      <x:c r="AK1" s="134"/>
    </x:row>
    <x:row r="2" ht="26" customHeight="1">
      <x:c r="A2" s="110" t="str">
        <x:v>Side-by-side 36-month outcomes using the same acquisition, pricing, cost, and cash logic.</x:v>
      </x:c>
      <x:c r="B2" s="110" t="str">
        <x:v>Side-by-side 36-month outcomes using the same acquisition, pricing, cost, and cash logic.</x:v>
      </x:c>
      <x:c r="C2" s="110" t="str">
        <x:v>Side-by-side 36-month outcomes using the same acquisition, pricing, cost, and cash logic.</x:v>
      </x:c>
      <x:c r="D2" s="110" t="str">
        <x:v>Side-by-side 36-month outcomes using the same acquisition, pricing, cost, and cash logic.</x:v>
      </x:c>
      <x:c r="E2" s="110" t="str">
        <x:v>Side-by-side 36-month outcomes using the same acquisition, pricing, cost, and cash logic.</x:v>
      </x:c>
      <x:c r="F2" s="110" t="str">
        <x:v>Side-by-side 36-month outcomes using the same acquisition, pricing, cost, and cash logic.</x:v>
      </x:c>
      <x:c r="G2" s="110" t="str">
        <x:v>Side-by-side 36-month outcomes using the same acquisition, pricing, cost, and cash logic.</x:v>
      </x:c>
      <x:c r="H2" s="110" t="str">
        <x:v>Side-by-side 36-month outcomes using the same acquisition, pricing, cost, and cash logic.</x:v>
      </x:c>
      <x:c r="I2" s="110" t="str">
        <x:v>Side-by-side 36-month outcomes using the same acquisition, pricing, cost, and cash logic.</x:v>
      </x:c>
      <x:c r="J2" s="110" t="str">
        <x:v>Side-by-side 36-month outcomes using the same acquisition, pricing, cost, and cash logic.</x:v>
      </x:c>
      <x:c r="K2" s="134"/>
      <x:c r="L2" s="134"/>
      <x:c r="M2" s="134"/>
      <x:c r="N2" s="134"/>
      <x:c r="O2" s="134"/>
      <x:c r="P2" s="134"/>
      <x:c r="Q2" s="134"/>
      <x:c r="R2" s="134"/>
      <x:c r="S2" s="134"/>
      <x:c r="T2" s="134"/>
      <x:c r="U2" s="134"/>
      <x:c r="V2" s="134"/>
      <x:c r="W2" s="134"/>
      <x:c r="X2" s="134"/>
      <x:c r="Y2" s="134"/>
      <x:c r="Z2" s="134"/>
      <x:c r="AA2" s="134"/>
      <x:c r="AB2" s="134"/>
      <x:c r="AC2" s="134"/>
      <x:c r="AD2" s="134"/>
      <x:c r="AE2" s="134"/>
      <x:c r="AF2" s="134"/>
      <x:c r="AG2" s="134"/>
      <x:c r="AH2" s="134"/>
      <x:c r="AI2" s="134"/>
      <x:c r="AJ2" s="134"/>
      <x:c r="AK2" s="134"/>
    </x:row>
    <x:row r="3">
      <x:c r="A3" s="134"/>
      <x:c r="B3" s="134"/>
      <x:c r="C3" s="134"/>
      <x:c r="D3" s="134"/>
      <x:c r="E3" s="134"/>
      <x:c r="F3" s="134"/>
      <x:c r="G3" s="134"/>
      <x:c r="H3" s="134"/>
      <x:c r="I3" s="134"/>
      <x:c r="J3" s="134"/>
      <x:c r="K3" s="134"/>
      <x:c r="L3" s="134"/>
      <x:c r="M3" s="134"/>
      <x:c r="N3" s="134"/>
      <x:c r="O3" s="134"/>
      <x:c r="P3" s="134"/>
      <x:c r="Q3" s="134"/>
      <x:c r="R3" s="134"/>
      <x:c r="S3" s="134"/>
      <x:c r="T3" s="134"/>
      <x:c r="U3" s="134"/>
      <x:c r="V3" s="134"/>
      <x:c r="W3" s="134"/>
      <x:c r="X3" s="134"/>
      <x:c r="Y3" s="134"/>
      <x:c r="Z3" s="134"/>
      <x:c r="AA3" s="134"/>
      <x:c r="AB3" s="134"/>
      <x:c r="AC3" s="134"/>
      <x:c r="AD3" s="134"/>
      <x:c r="AE3" s="134"/>
      <x:c r="AF3" s="134"/>
      <x:c r="AG3" s="134"/>
      <x:c r="AH3" s="134"/>
      <x:c r="AI3" s="134"/>
      <x:c r="AJ3" s="134"/>
      <x:c r="AK3" s="134"/>
    </x:row>
    <x:row r="4">
      <x:c r="A4" s="149" t="str">
        <x:v>Scenario</x:v>
      </x:c>
      <x:c r="B4" s="149" t="str">
        <x:v>Year 1 Revenue</x:v>
      </x:c>
      <x:c r="C4" s="149" t="str">
        <x:v>Year 2 Revenue</x:v>
      </x:c>
      <x:c r="D4" s="149" t="str">
        <x:v>Year 3 Revenue</x:v>
      </x:c>
      <x:c r="E4" s="149" t="str">
        <x:v>Month 36 MRR</x:v>
      </x:c>
      <x:c r="F4" s="149" t="str">
        <x:v>Minimum Cash</x:v>
      </x:c>
      <x:c r="G4" s="149" t="str">
        <x:v>Ending Cash</x:v>
      </x:c>
      <x:c r="H4" s="134"/>
      <x:c r="I4" s="134"/>
      <x:c r="J4" s="134"/>
      <x:c r="K4" s="134"/>
      <x:c r="L4" s="134"/>
      <x:c r="M4" s="134"/>
      <x:c r="N4" s="134"/>
      <x:c r="O4" s="134"/>
      <x:c r="P4" s="134"/>
      <x:c r="Q4" s="134"/>
      <x:c r="R4" s="134"/>
      <x:c r="S4" s="134"/>
      <x:c r="T4" s="134"/>
      <x:c r="U4" s="134"/>
      <x:c r="V4" s="134"/>
      <x:c r="W4" s="134"/>
      <x:c r="X4" s="134"/>
      <x:c r="Y4" s="134"/>
      <x:c r="Z4" s="134"/>
      <x:c r="AA4" s="134"/>
      <x:c r="AB4" s="134"/>
      <x:c r="AC4" s="134"/>
      <x:c r="AD4" s="134"/>
      <x:c r="AE4" s="134"/>
      <x:c r="AF4" s="134"/>
      <x:c r="AG4" s="134"/>
      <x:c r="AH4" s="134"/>
      <x:c r="AI4" s="134"/>
      <x:c r="AJ4" s="134"/>
      <x:c r="AK4" s="134"/>
    </x:row>
    <x:row r="5">
      <x:c r="A5" s="219" t="str">
        <x:v>Conservative</x:v>
      </x:c>
      <x:c r="B5" s="220" t="n">
        <x:f>SUM(B13:M13)</x:f>
        <x:v>10447.324482783088</x:v>
      </x:c>
      <x:c r="C5" s="220" t="n">
        <x:f>SUM(N13:Y13)</x:f>
        <x:v>32246.303084658466</x:v>
      </x:c>
      <x:c r="D5" s="220" t="n">
        <x:f>SUM(Z13:AK13)</x:f>
        <x:v>64299.30603172907</x:v>
      </x:c>
      <x:c r="E5" s="220" t="n">
        <x:f>AK13</x:f>
        <x:v>7019.52942615883</x:v>
      </x:c>
      <x:c r="F5" s="220" t="n">
        <x:f>MIN(B18:AK18)</x:f>
        <x:v>-26178.193673226273</x:v>
      </x:c>
      <x:c r="G5" s="221" t="n">
        <x:f>AK18</x:f>
        <x:v>-26178.193673226273</x:v>
      </x:c>
      <x:c r="H5" s="134"/>
      <x:c r="I5" s="134"/>
      <x:c r="J5" s="134"/>
      <x:c r="K5" s="134"/>
      <x:c r="L5" s="134"/>
      <x:c r="M5" s="134"/>
      <x:c r="N5" s="134"/>
      <x:c r="O5" s="134"/>
      <x:c r="P5" s="134"/>
      <x:c r="Q5" s="134"/>
      <x:c r="R5" s="134"/>
      <x:c r="S5" s="134"/>
      <x:c r="T5" s="134"/>
      <x:c r="U5" s="134"/>
      <x:c r="V5" s="134"/>
      <x:c r="W5" s="134"/>
      <x:c r="X5" s="134"/>
      <x:c r="Y5" s="134"/>
      <x:c r="Z5" s="134"/>
      <x:c r="AA5" s="134"/>
      <x:c r="AB5" s="134"/>
      <x:c r="AC5" s="134"/>
      <x:c r="AD5" s="134"/>
      <x:c r="AE5" s="134"/>
      <x:c r="AF5" s="134"/>
      <x:c r="AG5" s="134"/>
      <x:c r="AH5" s="134"/>
      <x:c r="AI5" s="134"/>
      <x:c r="AJ5" s="134"/>
      <x:c r="AK5" s="134"/>
    </x:row>
    <x:row r="6">
      <x:c r="A6" s="222" t="str">
        <x:v>Base</x:v>
      </x:c>
      <x:c r="B6" s="223" t="n">
        <x:f>SUM(B29:M29)</x:f>
        <x:v>52870.84646712899</x:v>
      </x:c>
      <x:c r="C6" s="223" t="n">
        <x:f>SUM(N29:Y29)</x:f>
        <x:v>251324.55609208328</x:v>
      </x:c>
      <x:c r="D6" s="223" t="n">
        <x:f>SUM(Z29:AK29)</x:f>
        <x:v>862843.9805405936</x:v>
      </x:c>
      <x:c r="E6" s="223" t="n">
        <x:f>AK29</x:f>
        <x:v>118023.57644729386</x:v>
      </x:c>
      <x:c r="F6" s="223" t="n">
        <x:f>MIN(B34:AK34)</x:f>
        <x:v>6569.373500958896</x:v>
      </x:c>
      <x:c r="G6" s="224" t="n">
        <x:f>AK34</x:f>
        <x:v>784685.0144751715</x:v>
      </x:c>
      <x:c r="H6" s="134"/>
      <x:c r="I6" s="134"/>
      <x:c r="J6" s="134"/>
      <x:c r="K6" s="134"/>
      <x:c r="L6" s="134"/>
      <x:c r="M6" s="134"/>
      <x:c r="N6" s="134"/>
      <x:c r="O6" s="134"/>
      <x:c r="P6" s="134"/>
      <x:c r="Q6" s="134"/>
      <x:c r="R6" s="134"/>
      <x:c r="S6" s="134"/>
      <x:c r="T6" s="134"/>
      <x:c r="U6" s="134"/>
      <x:c r="V6" s="134"/>
      <x:c r="W6" s="134"/>
      <x:c r="X6" s="134"/>
      <x:c r="Y6" s="134"/>
      <x:c r="Z6" s="134"/>
      <x:c r="AA6" s="134"/>
      <x:c r="AB6" s="134"/>
      <x:c r="AC6" s="134"/>
      <x:c r="AD6" s="134"/>
      <x:c r="AE6" s="134"/>
      <x:c r="AF6" s="134"/>
      <x:c r="AG6" s="134"/>
      <x:c r="AH6" s="134"/>
      <x:c r="AI6" s="134"/>
      <x:c r="AJ6" s="134"/>
      <x:c r="AK6" s="134"/>
    </x:row>
    <x:row r="7">
      <x:c r="A7" s="225" t="str">
        <x:v>Upside</x:v>
      </x:c>
      <x:c r="B7" s="226" t="n">
        <x:f>SUM(B45:M45)</x:f>
        <x:v>224243.53619512828</x:v>
      </x:c>
      <x:c r="C7" s="226" t="n">
        <x:f>SUM(N45:Y45)</x:f>
        <x:v>1657913.5078037386</x:v>
      </x:c>
      <x:c r="D7" s="226" t="n">
        <x:f>SUM(Z45:AK45)</x:f>
        <x:v>9934036.257373502</x:v>
      </x:c>
      <x:c r="E7" s="226" t="n">
        <x:f>AK45</x:f>
        <x:v>1662351.8742820309</x:v>
      </x:c>
      <x:c r="F7" s="226" t="n">
        <x:f>MIN(B50:AK50)</x:f>
        <x:v>54373.50166311721</x:v>
      </x:c>
      <x:c r="G7" s="227" t="n">
        <x:f>AK50</x:f>
        <x:v>10224888.49333831</x:v>
      </x:c>
      <x:c r="H7" s="134"/>
      <x:c r="I7" s="134"/>
      <x:c r="J7" s="134"/>
      <x:c r="K7" s="134"/>
      <x:c r="L7" s="134"/>
      <x:c r="M7" s="134"/>
      <x:c r="N7" s="134"/>
      <x:c r="O7" s="134"/>
      <x:c r="P7" s="134"/>
      <x:c r="Q7" s="134"/>
      <x:c r="R7" s="134"/>
      <x:c r="S7" s="134"/>
      <x:c r="T7" s="134"/>
      <x:c r="U7" s="134"/>
      <x:c r="V7" s="134"/>
      <x:c r="W7" s="134"/>
      <x:c r="X7" s="134"/>
      <x:c r="Y7" s="134"/>
      <x:c r="Z7" s="134"/>
      <x:c r="AA7" s="134"/>
      <x:c r="AB7" s="134"/>
      <x:c r="AC7" s="134"/>
      <x:c r="AD7" s="134"/>
      <x:c r="AE7" s="134"/>
      <x:c r="AF7" s="134"/>
      <x:c r="AG7" s="134"/>
      <x:c r="AH7" s="134"/>
      <x:c r="AI7" s="134"/>
      <x:c r="AJ7" s="134"/>
      <x:c r="AK7" s="134"/>
    </x:row>
    <x:row r="8">
      <x:c r="A8" s="134"/>
      <x:c r="B8" s="134"/>
      <x:c r="C8" s="134"/>
      <x:c r="D8" s="134"/>
      <x:c r="E8" s="134"/>
      <x:c r="F8" s="134"/>
      <x:c r="G8" s="134"/>
      <x:c r="H8" s="134"/>
      <x:c r="I8" s="134"/>
      <x:c r="J8" s="134"/>
      <x:c r="K8" s="134"/>
      <x:c r="L8" s="134"/>
      <x:c r="M8" s="134"/>
      <x:c r="N8" s="134"/>
      <x:c r="O8" s="134"/>
      <x:c r="P8" s="134"/>
      <x:c r="Q8" s="134"/>
      <x:c r="R8" s="134"/>
      <x:c r="S8" s="134"/>
      <x:c r="T8" s="134"/>
      <x:c r="U8" s="134"/>
      <x:c r="V8" s="134"/>
      <x:c r="W8" s="134"/>
      <x:c r="X8" s="134"/>
      <x:c r="Y8" s="134"/>
      <x:c r="Z8" s="134"/>
      <x:c r="AA8" s="134"/>
      <x:c r="AB8" s="134"/>
      <x:c r="AC8" s="134"/>
      <x:c r="AD8" s="134"/>
      <x:c r="AE8" s="134"/>
      <x:c r="AF8" s="134"/>
      <x:c r="AG8" s="134"/>
      <x:c r="AH8" s="134"/>
      <x:c r="AI8" s="134"/>
      <x:c r="AJ8" s="134"/>
      <x:c r="AK8" s="134"/>
    </x:row>
    <x:row r="9">
      <x:c r="A9" s="134"/>
      <x:c r="B9" s="134"/>
      <x:c r="C9" s="134"/>
      <x:c r="D9" s="134"/>
      <x:c r="E9" s="134"/>
      <x:c r="F9" s="134"/>
      <x:c r="G9" s="134"/>
      <x:c r="H9" s="134"/>
      <x:c r="I9" s="134"/>
      <x:c r="J9" s="134"/>
      <x:c r="K9" s="134"/>
      <x:c r="L9" s="134"/>
      <x:c r="M9" s="134"/>
      <x:c r="N9" s="134"/>
      <x:c r="O9" s="134"/>
      <x:c r="P9" s="134"/>
      <x:c r="Q9" s="134"/>
      <x:c r="R9" s="134"/>
      <x:c r="S9" s="134"/>
      <x:c r="T9" s="134"/>
      <x:c r="U9" s="134"/>
      <x:c r="V9" s="134"/>
      <x:c r="W9" s="134"/>
      <x:c r="X9" s="134"/>
      <x:c r="Y9" s="134"/>
      <x:c r="Z9" s="134"/>
      <x:c r="AA9" s="134"/>
      <x:c r="AB9" s="134"/>
      <x:c r="AC9" s="134"/>
      <x:c r="AD9" s="134"/>
      <x:c r="AE9" s="134"/>
      <x:c r="AF9" s="134"/>
      <x:c r="AG9" s="134"/>
      <x:c r="AH9" s="134"/>
      <x:c r="AI9" s="134"/>
      <x:c r="AJ9" s="134"/>
      <x:c r="AK9" s="134"/>
    </x:row>
    <x:row r="10">
      <x:c r="A10" s="228" t="str">
        <x:v>Month</x:v>
      </x:c>
      <x:c r="B10" s="228" t="n">
        <x:v>46235</x:v>
      </x:c>
      <x:c r="C10" s="228" t="n">
        <x:v>46266</x:v>
      </x:c>
      <x:c r="D10" s="228" t="n">
        <x:v>46296</x:v>
      </x:c>
      <x:c r="E10" s="228" t="n">
        <x:v>46327</x:v>
      </x:c>
      <x:c r="F10" s="228" t="n">
        <x:v>46357</x:v>
      </x:c>
      <x:c r="G10" s="228" t="n">
        <x:v>46388</x:v>
      </x:c>
      <x:c r="H10" s="228" t="n">
        <x:v>46419</x:v>
      </x:c>
      <x:c r="I10" s="228" t="n">
        <x:v>46447</x:v>
      </x:c>
      <x:c r="J10" s="228" t="n">
        <x:v>46478</x:v>
      </x:c>
      <x:c r="K10" s="228" t="n">
        <x:v>46508</x:v>
      </x:c>
      <x:c r="L10" s="228" t="n">
        <x:v>46539</x:v>
      </x:c>
      <x:c r="M10" s="228" t="n">
        <x:v>46569</x:v>
      </x:c>
      <x:c r="N10" s="228" t="n">
        <x:v>46600</x:v>
      </x:c>
      <x:c r="O10" s="228" t="n">
        <x:v>46631</x:v>
      </x:c>
      <x:c r="P10" s="228" t="n">
        <x:v>46661</x:v>
      </x:c>
      <x:c r="Q10" s="228" t="n">
        <x:v>46692</x:v>
      </x:c>
      <x:c r="R10" s="228" t="n">
        <x:v>46722</x:v>
      </x:c>
      <x:c r="S10" s="228" t="n">
        <x:v>46753</x:v>
      </x:c>
      <x:c r="T10" s="228" t="n">
        <x:v>46784</x:v>
      </x:c>
      <x:c r="U10" s="228" t="n">
        <x:v>46813</x:v>
      </x:c>
      <x:c r="V10" s="228" t="n">
        <x:v>46844</x:v>
      </x:c>
      <x:c r="W10" s="228" t="n">
        <x:v>46874</x:v>
      </x:c>
      <x:c r="X10" s="228" t="n">
        <x:v>46905</x:v>
      </x:c>
      <x:c r="Y10" s="228" t="n">
        <x:v>46935</x:v>
      </x:c>
      <x:c r="Z10" s="228" t="n">
        <x:v>46966</x:v>
      </x:c>
      <x:c r="AA10" s="228" t="n">
        <x:v>46997</x:v>
      </x:c>
      <x:c r="AB10" s="228" t="n">
        <x:v>47027</x:v>
      </x:c>
      <x:c r="AC10" s="228" t="n">
        <x:v>47058</x:v>
      </x:c>
      <x:c r="AD10" s="228" t="n">
        <x:v>47088</x:v>
      </x:c>
      <x:c r="AE10" s="228" t="n">
        <x:v>47119</x:v>
      </x:c>
      <x:c r="AF10" s="228" t="n">
        <x:v>47150</x:v>
      </x:c>
      <x:c r="AG10" s="228" t="n">
        <x:v>47178</x:v>
      </x:c>
      <x:c r="AH10" s="228" t="n">
        <x:v>47209</x:v>
      </x:c>
      <x:c r="AI10" s="228" t="n">
        <x:v>47239</x:v>
      </x:c>
      <x:c r="AJ10" s="228" t="n">
        <x:v>47270</x:v>
      </x:c>
      <x:c r="AK10" s="228" t="n">
        <x:v>47300</x:v>
      </x:c>
    </x:row>
    <x:row r="11">
      <x:c r="A11" s="134" t="str">
        <x:v>Paid individuals</x:v>
      </x:c>
      <x:c r="B11" s="153" t="n">
        <x:f>('Assumptions'!$C$7*'Assumptions'!$C$9*'Assumptions'!$C$10)</x:f>
        <x:v>2.88</x:v>
      </x:c>
      <x:c r="C11" s="153" t="n">
        <x:f>B11*(1-'Assumptions'!$C$11)+'Assumptions'!$C$7*(1+'Assumptions'!$C$8)^(2-1)*'Assumptions'!$C$9*'Assumptions'!$C$10</x:f>
        <x:v>5.7024</x:v>
      </x:c>
      <x:c r="D11" s="153" t="n">
        <x:f>C11*(1-'Assumptions'!$C$11)+'Assumptions'!$C$7*(1+'Assumptions'!$C$8)^(3-1)*'Assumptions'!$C$9*'Assumptions'!$C$10</x:f>
        <x:v>8.482176</x:v>
      </x:c>
      <x:c r="E11" s="153" t="n">
        <x:f>D11*(1-'Assumptions'!$C$11)+'Assumptions'!$C$7*(1+'Assumptions'!$C$8)^(4-1)*'Assumptions'!$C$9*'Assumptions'!$C$10</x:f>
        <x:v>11.233728000000001</x:v>
      </x:c>
      <x:c r="F11" s="153" t="n">
        <x:f>E11*(1-'Assumptions'!$C$11)+'Assumptions'!$C$7*(1+'Assumptions'!$C$8)^(5-1)*'Assumptions'!$C$9*'Assumptions'!$C$10</x:f>
        <x:v>13.970963404800003</x:v>
      </x:c>
      <x:c r="G11" s="153" t="n">
        <x:f>F11*(1-'Assumptions'!$C$11)+'Assumptions'!$C$7*(1+'Assumptions'!$C$8)^(6-1)*'Assumptions'!$C$9*'Assumptions'!$C$10</x:f>
        <x:v>16.707375995904005</x:v>
      </x:c>
      <x:c r="H11" s="153" t="n">
        <x:f>G11*(1-'Assumptions'!$C$11)+'Assumptions'!$C$7*(1+'Assumptions'!$C$8)^(7-1)*'Assumptions'!$C$9*'Assumptions'!$C$10</x:f>
        <x:v>19.456120959528967</x:v>
      </x:c>
      <x:c r="I11" s="153" t="n">
        <x:f>H11*(1-'Assumptions'!$C$11)+'Assumptions'!$C$7*(1+'Assumptions'!$C$8)^(8-1)*'Assumptions'!$C$9*'Assumptions'!$C$10</x:f>
        <x:v>22.230086428661767</x:v>
      </x:c>
      <x:c r="J11" s="153" t="n">
        <x:f>I11*(1-'Assumptions'!$C$11)+'Assumptions'!$C$7*(1+'Assumptions'!$C$8)^(9-1)*'Assumptions'!$C$9*'Assumptions'!$C$10</x:f>
        <x:v>25.041961969017652</x:v>
      </x:c>
      <x:c r="K11" s="153" t="n">
        <x:f>J11*(1-'Assumptions'!$C$11)+'Assumptions'!$C$7*(1+'Assumptions'!$C$8)^(10-1)*'Assumptions'!$C$9*'Assumptions'!$C$10</x:f>
        <x:v>27.904304413423997</x:v>
      </x:c>
      <x:c r="L11" s="153" t="n">
        <x:f>K11*(1-'Assumptions'!$C$11)+'Assumptions'!$C$7*(1+'Assumptions'!$C$8)^(11-1)*'Assumptions'!$C$9*'Assumptions'!$C$10</x:f>
        <x:v>30.8296014263935</x:v>
      </x:c>
      <x:c r="M11" s="153" t="n">
        <x:f>L11*(1-'Assumptions'!$C$11)+'Assumptions'!$C$7*(1+'Assumptions'!$C$8)^(12-1)*'Assumptions'!$C$9*'Assumptions'!$C$10</x:f>
        <x:v>33.83033316028805</x:v>
      </x:c>
      <x:c r="N11" s="153" t="n">
        <x:f>M11*(1-'Assumptions'!$C$11)+'Assumptions'!$C$7*(1+'Assumptions'!$C$8)^(13-1)*'Assumptions'!$C$9*'Assumptions'!$C$10</x:f>
        <x:v>36.91903234635139</x:v>
      </x:c>
      <x:c r="O11" s="153" t="n">
        <x:f>N11*(1-'Assumptions'!$C$11)+'Assumptions'!$C$7*(1+'Assumptions'!$C$8)^(14-1)*'Assumptions'!$C$9*'Assumptions'!$C$10</x:f>
        <x:v>40.108343147862854</x:v>
      </x:c>
      <x:c r="P11" s="153" t="n">
        <x:f>O11*(1-'Assumptions'!$C$11)+'Assumptions'!$C$7*(1+'Assumptions'!$C$8)^(15-1)*'Assumptions'!$C$9*'Assumptions'!$C$10</x:f>
        <x:v>43.41107908860657</x:v>
      </x:c>
      <x:c r="Q11" s="153" t="n">
        <x:f>P11*(1-'Assumptions'!$C$11)+'Assumptions'!$C$7*(1+'Assumptions'!$C$8)^(16-1)*'Assumptions'!$C$9*'Assumptions'!$C$10</x:f>
        <x:v>46.840280357645156</x:v>
      </x:c>
      <x:c r="R11" s="153" t="n">
        <x:f>Q11*(1-'Assumptions'!$C$11)+'Assumptions'!$C$7*(1+'Assumptions'!$C$8)^(17-1)*'Assumptions'!$C$9*'Assumptions'!$C$10</x:f>
        <x:v>50.40927078092829</x:v>
      </x:c>
      <x:c r="S11" s="153" t="n">
        <x:f>R11*(1-'Assumptions'!$C$11)+'Assumptions'!$C$7*(1+'Assumptions'!$C$8)^(18-1)*'Assumptions'!$C$9*'Assumptions'!$C$10</x:f>
        <x:v>54.13171474146245</x:v>
      </x:c>
      <x:c r="T11" s="153" t="n">
        <x:f>S11*(1-'Assumptions'!$C$11)+'Assumptions'!$C$7*(1+'Assumptions'!$C$8)^(19-1)*'Assumptions'!$C$9*'Assumptions'!$C$10</x:f>
        <x:v>58.021674322534395</x:v>
      </x:c>
      <x:c r="U11" s="153" t="n">
        <x:f>T11*(1-'Assumptions'!$C$11)+'Assumptions'!$C$7*(1+'Assumptions'!$C$8)^(20-1)*'Assumptions'!$C$9*'Assumptions'!$C$10</x:f>
        <x:v>62.09366694274391</x:v>
      </x:c>
      <x:c r="V11" s="153" t="n">
        <x:f>U11*(1-'Assumptions'!$C$11)+'Assumptions'!$C$7*(1+'Assumptions'!$C$8)^(21-1)*'Assumptions'!$C$9*'Assumptions'!$C$10</x:f>
        <x:v>66.3627237472974</x:v>
      </x:c>
      <x:c r="W11" s="153" t="n">
        <x:f>V11*(1-'Assumptions'!$C$11)+'Assumptions'!$C$7*(1+'Assumptions'!$C$8)^(22-1)*'Assumptions'!$C$9*'Assumptions'!$C$10</x:f>
        <x:v>70.84444901708498</x:v>
      </x:c>
      <x:c r="X11" s="153" t="n">
        <x:f>W11*(1-'Assumptions'!$C$11)+'Assumptions'!$C$7*(1+'Assumptions'!$C$8)^(23-1)*'Assumptions'!$C$9*'Assumptions'!$C$10</x:f>
        <x:v>75.55508085546386</x:v>
      </x:c>
      <x:c r="Y11" s="153" t="n">
        <x:f>X11*(1-'Assumptions'!$C$11)+'Assumptions'!$C$7*(1+'Assumptions'!$C$8)^(24-1)*'Assumptions'!$C$9*'Assumptions'!$C$10</x:f>
        <x:v>80.51155341235716</x:v>
      </x:c>
      <x:c r="Z11" s="153" t="n">
        <x:f>Y11*(1-'Assumptions'!$C$11)+'Assumptions'!$C$7*(1+'Assumptions'!$C$8)^(25-1)*'Assumptions'!$C$9*'Assumptions'!$C$10</x:f>
        <x:v>85.73156090621882</x:v>
      </x:c>
      <x:c r="AA11" s="153" t="n">
        <x:f>Z11*(1-'Assumptions'!$C$11)+'Assumptions'!$C$7*(1+'Assumptions'!$C$8)^(26-1)*'Assumptions'!$C$9*'Assumptions'!$C$10</x:f>
        <x:v>91.23362370658256</x:v>
      </x:c>
      <x:c r="AB11" s="153" t="n">
        <x:f>AA11*(1-'Assumptions'!$C$11)+'Assumptions'!$C$7*(1+'Assumptions'!$C$8)^(27-1)*'Assumptions'!$C$9*'Assumptions'!$C$10</x:f>
        <x:v>97.03715674328889</x:v>
      </x:c>
      <x:c r="AC11" s="153" t="n">
        <x:f>AB11*(1-'Assumptions'!$C$11)+'Assumptions'!$C$7*(1+'Assumptions'!$C$8)^(28-1)*'Assumptions'!$C$9*'Assumptions'!$C$10</x:f>
        <x:v>103.16254051305268</x:v>
      </x:c>
      <x:c r="AD11" s="153" t="n">
        <x:f>AC11*(1-'Assumptions'!$C$11)+'Assumptions'!$C$7*(1+'Assumptions'!$C$8)^(29-1)*'Assumptions'!$C$9*'Assumptions'!$C$10</x:f>
        <x:v>109.63119495978897</x:v>
      </x:c>
      <x:c r="AE11" s="153" t="n">
        <x:f>AD11*(1-'Assumptions'!$C$11)+'Assumptions'!$C$7*(1+'Assumptions'!$C$8)^(30-1)*'Assumptions'!$C$9*'Assumptions'!$C$10</x:f>
        <x:v>116.46565651205322</x:v>
      </x:c>
      <x:c r="AF11" s="153" t="n">
        <x:f>AE11*(1-'Assumptions'!$C$11)+'Assumptions'!$C$7*(1+'Assumptions'!$C$8)^(31-1)*'Assumptions'!$C$9*'Assumptions'!$C$10</x:f>
        <x:v>123.68965856907916</x:v>
      </x:c>
      <x:c r="AG11" s="153" t="n">
        <x:f>AF11*(1-'Assumptions'!$C$11)+'Assumptions'!$C$7*(1+'Assumptions'!$C$8)^(32-1)*'Assumptions'!$C$9*'Assumptions'!$C$10</x:f>
        <x:v>131.32821573622243</x:v>
      </x:c>
      <x:c r="AH11" s="153" t="n">
        <x:f>AG11*(1-'Assumptions'!$C$11)+'Assumptions'!$C$7*(1+'Assumptions'!$C$8)^(33-1)*'Assumptions'!$C$9*'Assumptions'!$C$10</x:f>
        <x:v>139.40771212115442</x:v>
      </x:c>
      <x:c r="AI11" s="153" t="n">
        <x:f>AH11*(1-'Assumptions'!$C$11)+'Assumptions'!$C$7*(1+'Assumptions'!$C$8)^(34-1)*'Assumptions'!$C$9*'Assumptions'!$C$10</x:f>
        <x:v>147.9559940139216</x:v>
      </x:c>
      <x:c r="AJ11" s="153" t="n">
        <x:f>AI11*(1-'Assumptions'!$C$11)+'Assumptions'!$C$7*(1+'Assumptions'!$C$8)^(35-1)*'Assumptions'!$C$9*'Assumptions'!$C$10</x:f>
        <x:v>157.00246728701504</x:v>
      </x:c>
      <x:c r="AK11" s="153" t="n">
        <x:f>AJ11*(1-'Assumptions'!$C$11)+'Assumptions'!$C$7*(1+'Assumptions'!$C$8)^(36-1)*'Assumptions'!$C$9*'Assumptions'!$C$10</x:f>
        <x:v>166.5781998659134</x:v>
      </x:c>
    </x:row>
    <x:row r="12">
      <x:c r="A12" s="134" t="str">
        <x:v>B2B programs</x:v>
      </x:c>
      <x:c r="B12" s="153" t="n">
        <x:f>('Assumptions'!$C$12*'Assumptions'!$C$14)</x:f>
        <x:v>0.4</x:v>
      </x:c>
      <x:c r="C12" s="153" t="n">
        <x:f>B12*(1-'Assumptions'!$C$15)+'Assumptions'!$C$12*(1+'Assumptions'!$C$13)^(2-1)*'Assumptions'!$C$14</x:f>
        <x:v>0.8</x:v>
      </x:c>
      <x:c r="D12" s="153" t="n">
        <x:f>C12*(1-'Assumptions'!$C$15)+'Assumptions'!$C$12*(1+'Assumptions'!$C$13)^(3-1)*'Assumptions'!$C$14</x:f>
        <x:v>1.2006400000000002</x:v>
      </x:c>
      <x:c r="E12" s="153" t="n">
        <x:f>D12*(1-'Assumptions'!$C$15)+'Assumptions'!$C$12*(1+'Assumptions'!$C$13)^(4-1)*'Assumptions'!$C$14</x:f>
        <x:v>1.60256</x:v>
      </x:c>
      <x:c r="F12" s="153" t="n">
        <x:f>E12*(1-'Assumptions'!$C$15)+'Assumptions'!$C$12*(1+'Assumptions'!$C$13)^(5-1)*'Assumptions'!$C$14</x:f>
        <x:v>2.006401024</x:v>
      </x:c>
      <x:c r="G12" s="153" t="n">
        <x:f>F12*(1-'Assumptions'!$C$15)+'Assumptions'!$C$12*(1+'Assumptions'!$C$13)^(6-1)*'Assumptions'!$C$14</x:f>
        <x:v>2.412806144</x:v>
      </x:c>
      <x:c r="H12" s="153" t="n">
        <x:f>G12*(1-'Assumptions'!$C$15)+'Assumptions'!$C$12*(1+'Assumptions'!$C$13)^(7-1)*'Assumptions'!$C$14</x:f>
        <x:v>2.8224215056384003</x:v>
      </x:c>
      <x:c r="I12" s="153" t="n">
        <x:f>H12*(1-'Assumptions'!$C$15)+'Assumptions'!$C$12*(1+'Assumptions'!$C$13)^(8-1)*'Assumptions'!$C$14</x:f>
        <x:v>3.2358973571072003</x:v>
      </x:c>
      <x:c r="J12" s="153" t="n">
        <x:f>I12*(1-'Assumptions'!$C$15)+'Assumptions'!$C$12*(1+'Assumptions'!$C$13)^(9-1)*'Assumptions'!$C$14</x:f>
        <x:v>3.653889082985022</x:v>
      </x:c>
      <x:c r="K12" s="153" t="n">
        <x:f>J12*(1-'Assumptions'!$C$15)+'Assumptions'!$C$12*(1+'Assumptions'!$C$13)^(10-1)*'Assumptions'!$C$14</x:f>
        <x:v>4.077058244634214</x:v>
      </x:c>
      <x:c r="L12" s="153" t="n">
        <x:f>K12*(1-'Assumptions'!$C$15)+'Assumptions'!$C$12*(1+'Assumptions'!$C$13)^(11-1)*'Assumptions'!$C$14</x:f>
        <x:v>4.506073628816184</x:v>
      </x:c>
      <x:c r="M12" s="153" t="n">
        <x:f>L12*(1-'Assumptions'!$C$15)+'Assumptions'!$C$12*(1+'Assumptions'!$C$13)^(12-1)*'Assumptions'!$C$14</x:f>
        <x:v>4.941612306189567</x:v>
      </x:c>
      <x:c r="N12" s="153" t="n">
        <x:f>M12*(1-'Assumptions'!$C$15)+'Assumptions'!$C$12*(1+'Assumptions'!$C$13)^(13-1)*'Assumptions'!$C$14</x:f>
        <x:v>5.384360701369057</x:v>
      </x:c>
      <x:c r="O12" s="153" t="n">
        <x:f>N12*(1-'Assumptions'!$C$15)+'Assumptions'!$C$12*(1+'Assumptions'!$C$13)^(14-1)*'Assumptions'!$C$14</x:f>
        <x:v>5.83501567623845</x:v>
      </x:c>
      <x:c r="P12" s="153" t="n">
        <x:f>O12*(1-'Assumptions'!$C$15)+'Assumptions'!$C$12*(1+'Assumptions'!$C$13)^(15-1)*'Assumptions'!$C$14</x:f>
        <x:v>6.294285628230034</x:v>
      </x:c>
      <x:c r="Q12" s="153" t="n">
        <x:f>P12*(1-'Assumptions'!$C$15)+'Assumptions'!$C$12*(1+'Assumptions'!$C$13)^(16-1)*'Assumptions'!$C$14</x:f>
        <x:v>6.762891605303599</x:v>
      </x:c>
      <x:c r="R12" s="153" t="n">
        <x:f>Q12*(1-'Assumptions'!$C$15)+'Assumptions'!$C$12*(1+'Assumptions'!$C$13)^(17-1)*'Assumptions'!$C$14</x:f>
        <x:v>7.241568439382332</x:v>
      </x:c>
      <x:c r="S12" s="153" t="n">
        <x:f>R12*(1-'Assumptions'!$C$15)+'Assumptions'!$C$12*(1+'Assumptions'!$C$13)^(18-1)*'Assumptions'!$C$14</x:f>
        <x:v>7.731065900029551</x:v>
      </x:c>
      <x:c r="T12" s="153" t="n">
        <x:f>S12*(1-'Assumptions'!$C$15)+'Assumptions'!$C$12*(1+'Assumptions'!$C$13)^(19-1)*'Assumptions'!$C$14</x:f>
        <x:v>8.232149870179782</x:v>
      </x:c>
      <x:c r="U12" s="153" t="n">
        <x:f>T12*(1-'Assumptions'!$C$15)+'Assumptions'!$C$12*(1+'Assumptions'!$C$13)^(20-1)*'Assumptions'!$C$14</x:f>
        <x:v>8.74560354577006</x:v>
      </x:c>
      <x:c r="V12" s="153" t="n">
        <x:f>U12*(1-'Assumptions'!$C$15)+'Assumptions'!$C$12*(1+'Assumptions'!$C$13)^(21-1)*'Assumptions'!$C$14</x:f>
        <x:v>9.272228661152624</x:v>
      </x:c>
      <x:c r="W12" s="153" t="n">
        <x:f>V12*(1-'Assumptions'!$C$15)+'Assumptions'!$C$12*(1+'Assumptions'!$C$13)^(22-1)*'Assumptions'!$C$14</x:f>
        <x:v>9.812846742208423</x:v>
      </x:c>
      <x:c r="X12" s="153" t="n">
        <x:f>W12*(1-'Assumptions'!$C$15)+'Assumptions'!$C$12*(1+'Assumptions'!$C$13)^(23-1)*'Assumptions'!$C$14</x:f>
        <x:v>10.368300389122066</x:v>
      </x:c>
      <x:c r="Y12" s="153" t="n">
        <x:f>X12*(1-'Assumptions'!$C$15)+'Assumptions'!$C$12*(1+'Assumptions'!$C$13)^(24-1)*'Assumptions'!$C$14</x:f>
        <x:v>10.93945459082324</x:v>
      </x:c>
      <x:c r="Z12" s="153" t="n">
        <x:f>Y12*(1-'Assumptions'!$C$15)+'Assumptions'!$C$12*(1+'Assumptions'!$C$13)^(25-1)*'Assumptions'!$C$14</x:f>
        <x:v>11.527198073147012</x:v>
      </x:c>
      <x:c r="AA12" s="153" t="n">
        <x:f>Z12*(1-'Assumptions'!$C$15)+'Assumptions'!$C$12*(1+'Assumptions'!$C$13)^(26-1)*'Assumptions'!$C$14</x:f>
        <x:v>12.1324446828161</x:v>
      </x:c>
      <x:c r="AB12" s="153" t="n">
        <x:f>AA12*(1-'Assumptions'!$C$15)+'Assumptions'!$C$12*(1+'Assumptions'!$C$13)^(27-1)*'Assumptions'!$C$14</x:f>
        <x:v>12.756134809402223</x:v>
      </x:c>
      <x:c r="AC12" s="153" t="n">
        <x:f>AB12*(1-'Assumptions'!$C$15)+'Assumptions'!$C$12*(1+'Assumptions'!$C$13)^(28-1)*'Assumptions'!$C$14</x:f>
        <x:v>13.399236847480852</x:v>
      </x:c>
      <x:c r="AD12" s="153" t="n">
        <x:f>AC12*(1-'Assumptions'!$C$15)+'Assumptions'!$C$12*(1+'Assumptions'!$C$13)^(29-1)*'Assumptions'!$C$14</x:f>
        <x:v>14.062748701254526</x:v>
      </x:c>
      <x:c r="AE12" s="153" t="n">
        <x:f>AD12*(1-'Assumptions'!$C$15)+'Assumptions'!$C$12*(1+'Assumptions'!$C$13)^(30-1)*'Assumptions'!$C$14</x:f>
        <x:v>14.747699333984169</x:v>
      </x:c>
      <x:c r="AF12" s="153" t="n">
        <x:f>AE12*(1-'Assumptions'!$C$15)+'Assumptions'!$C$12*(1+'Assumptions'!$C$13)^(31-1)*'Assumptions'!$C$14</x:f>
        <x:v>15.45515036463582</x:v>
      </x:c>
      <x:c r="AG12" s="153" t="n">
        <x:f>AF12*(1-'Assumptions'!$C$15)+'Assumptions'!$C$12*(1+'Assumptions'!$C$13)^(32-1)*'Assumptions'!$C$14</x:f>
        <x:v>16.186197714221844</x:v>
      </x:c>
      <x:c r="AH12" s="153" t="n">
        <x:f>AG12*(1-'Assumptions'!$C$15)+'Assumptions'!$C$12*(1+'Assumptions'!$C$13)^(33-1)*'Assumptions'!$C$14</x:f>
        <x:v>16.941973304391286</x:v>
      </x:c>
      <x:c r="AI12" s="153" t="n">
        <x:f>AH12*(1-'Assumptions'!$C$15)+'Assumptions'!$C$12*(1+'Assumptions'!$C$13)^(34-1)*'Assumptions'!$C$14</x:f>
        <x:v>17.72364681090348</x:v>
      </x:c>
      <x:c r="AJ12" s="153" t="n">
        <x:f>AI12*(1-'Assumptions'!$C$15)+'Assumptions'!$C$12*(1+'Assumptions'!$C$13)^(35-1)*'Assumptions'!$C$14</x:f>
        <x:v>18.532427474702704</x:v>
      </x:c>
      <x:c r="AK12" s="153" t="n">
        <x:f>AJ12*(1-'Assumptions'!$C$15)+'Assumptions'!$C$12*(1+'Assumptions'!$C$13)^(36-1)*'Assumptions'!$C$14</x:f>
        <x:v>19.36956597339937</x:v>
      </x:c>
    </x:row>
    <x:row r="13">
      <x:c r="A13" s="134" t="str">
        <x:v>Revenue</x:v>
      </x:c>
      <x:c r="B13" s="135" t="n">
        <x:f>B11*'Assumptions'!$C$17+B12*'Assumptions'!$C$18</x:f>
        <x:v>134.32</x:v>
      </x:c>
      <x:c r="C13" s="135" t="n">
        <x:f>C11*'Assumptions'!$C$17+C12*'Assumptions'!$C$18</x:f>
        <x:v>267.54560000000004</x:v>
      </x:c>
      <x:c r="D13" s="135" t="n">
        <x:f>D11*'Assumptions'!$C$17+D12*'Assumptions'!$C$18</x:f>
        <x:v>400.088704</x:v>
      </x:c>
      <x:c r="E13" s="135" t="n">
        <x:f>E11*'Assumptions'!$C$17+E12*'Assumptions'!$C$18</x:f>
        <x:v>532.350272</x:v>
      </x:c>
      <x:c r="F13" s="135" t="n">
        <x:f>F11*'Assumptions'!$C$17+F12*'Assumptions'!$C$18</x:f>
        <x:v>664.7221084672001</x:v>
      </x:c>
      <x:c r="G13" s="135" t="n">
        <x:f>G11*'Assumptions'!$C$17+G12*'Assumptions'!$C$18</x:f>
        <x:v>797.5885665781761</x:v>
      </x:c>
      <x:c r="H13" s="135" t="n">
        <x:f>H11*'Assumptions'!$C$17+H12*'Assumptions'!$C$18</x:f>
        <x:v>931.328177853092</x:v>
      </x:c>
      <x:c r="I13" s="135" t="n">
        <x:f>I11*'Assumptions'!$C$17+I12*'Assumptions'!$C$18</x:f>
        <x:v>1066.3152162089063</x:v>
      </x:c>
      <x:c r="J13" s="135" t="n">
        <x:f>J11*'Assumptions'!$C$17+J12*'Assumptions'!$C$18</x:f>
        <x:v>1202.9212049253547</x:v>
      </x:c>
      <x:c r="K13" s="135" t="n">
        <x:f>K11*'Assumptions'!$C$17+K12*'Assumptions'!$C$18</x:f>
        <x:v>1341.5163745372647</x:v>
      </x:c>
      <x:c r="L13" s="135" t="n">
        <x:f>L11*'Assumptions'!$C$17+L12*'Assumptions'!$C$18</x:f>
        <x:v>1482.471079235897</x:v>
      </x:c>
      <x:c r="M13" s="135" t="n">
        <x:f>M11*'Assumptions'!$C$17+M12*'Assumptions'!$C$18</x:f>
        <x:v>1626.157178977197</x:v>
      </x:c>
      <x:c r="N13" s="135" t="n">
        <x:f>N11*'Assumptions'!$C$17+N12*'Assumptions'!$C$18</x:f>
        <x:v>1772.9493941531189</x:v>
      </x:c>
      <x:c r="O13" s="135" t="n">
        <x:f>O11*'Assumptions'!$C$17+O12*'Assumptions'!$C$18</x:f>
        <x:v>1923.2266393808459</x:v>
      </x:c>
      <x:c r="P13" s="135" t="n">
        <x:f>P11*'Assumptions'!$C$17+P12*'Assumptions'!$C$18</x:f>
        <x:v>2077.3733427013017</x:v>
      </x:c>
      <x:c r="Q13" s="135" t="n">
        <x:f>Q11*'Assumptions'!$C$17+Q12*'Assumptions'!$C$18</x:f>
        <x:v>2235.780756250674</x:v>
      </x:c>
      <x:c r="R13" s="135" t="n">
        <x:f>R11*'Assumptions'!$C$17+R12*'Assumptions'!$C$18</x:f>
        <x:v>2398.8482642747217</x:v>
      </x:c>
      <x:c r="S13" s="135" t="n">
        <x:f>S11*'Assumptions'!$C$17+S12*'Assumptions'!$C$18</x:f>
        <x:v>2566.9846941936676</x:v>
      </x:c>
      <x:c r="T13" s="135" t="n">
        <x:f>T11*'Assumptions'!$C$17+T12*'Assumptions'!$C$18</x:f>
        <x:v>2740.60963629393</x:v>
      </x:c>
      <x:c r="U13" s="135" t="n">
        <x:f>U11*'Assumptions'!$C$17+U12*'Assumptions'!$C$18</x:f>
        <x:v>2920.1547775203762</x:v>
      </x:c>
      <x:c r="V13" s="135" t="n">
        <x:f>V11*'Assumptions'!$C$17+V12*'Assumptions'!$C$18</x:f>
        <x:v>3106.065254768023</x:v>
      </x:c>
      <x:c r="W13" s="135" t="n">
        <x:f>W11*'Assumptions'!$C$17+W12*'Assumptions'!$C$18</x:f>
        <x:v>3298.801033024091</x:v>
      </x:c>
      <x:c r="X13" s="135" t="n">
        <x:f>X11*'Assumptions'!$C$17+X12*'Assumptions'!$C$18</x:f>
        <x:v>3498.8383136891043</x:v>
      </x:c>
      <x:c r="Y13" s="135" t="n">
        <x:f>Y11*'Assumptions'!$C$17+Y12*'Assumptions'!$C$18</x:f>
        <x:v>3706.670978408611</x:v>
      </x:c>
      <x:c r="Z13" s="135" t="n">
        <x:f>Z11*'Assumptions'!$C$17+Z12*'Assumptions'!$C$18</x:f>
        <x:v>3922.812073774413</x:v>
      </x:c>
      <x:c r="AA13" s="135" t="n">
        <x:f>AA11*'Assumptions'!$C$17+AA12*'Assumptions'!$C$18</x:f>
        <x:v>4147.795342305473</x:v>
      </x:c>
      <x:c r="AB13" s="135" t="n">
        <x:f>AB11*'Assumptions'!$C$17+AB12*'Assumptions'!$C$18</x:f>
        <x:v>4382.176805193531</x:v>
      </x:c>
      <x:c r="AC13" s="135" t="n">
        <x:f>AC11*'Assumptions'!$C$17+AC12*'Assumptions'!$C$18</x:f>
        <x:v>4626.53640239669</x:v>
      </x:c>
      <x:c r="AD13" s="135" t="n">
        <x:f>AD11*'Assumptions'!$C$17+AD12*'Assumptions'!$C$18</x:f>
        <x:v>4881.4796957856415</x:v>
      </x:c>
      <x:c r="AE13" s="135" t="n">
        <x:f>AE11*'Assumptions'!$C$17+AE12*'Assumptions'!$C$18</x:f>
        <x:v>5147.639641191861</x:v>
      </x:c>
      <x:c r="AF13" s="135" t="n">
        <x:f>AF11*'Assumptions'!$C$17+AF12*'Assumptions'!$C$18</x:f>
        <x:v>5425.678435375032</x:v>
      </x:c>
      <x:c r="AG13" s="135" t="n">
        <x:f>AG11*'Assumptions'!$C$17+AG12*'Assumptions'!$C$18</x:f>
        <x:v>5716.2894441183735</x:v>
      </x:c>
      <x:c r="AH13" s="135" t="n">
        <x:f>AH11*'Assumptions'!$C$17+AH12*'Assumptions'!$C$18</x:f>
        <x:v>6020.1992178758</x:v>
      </x:c>
      <x:c r="AI13" s="135" t="n">
        <x:f>AI11*'Assumptions'!$C$17+AI12*'Assumptions'!$C$18</x:f>
        <x:v>6338.169601634303</x:v>
      </x:c>
      <x:c r="AJ13" s="135" t="n">
        <x:f>AJ11*'Assumptions'!$C$17+AJ12*'Assumptions'!$C$18</x:f>
        <x:v>6670.999945919124</x:v>
      </x:c>
      <x:c r="AK13" s="135" t="n">
        <x:f>AK11*'Assumptions'!$C$17+AK12*'Assumptions'!$C$18</x:f>
        <x:v>7019.52942615883</x:v>
      </x:c>
    </x:row>
    <x:row r="14">
      <x:c r="A14" s="134" t="str">
        <x:v>Cost of revenue</x:v>
      </x:c>
      <x:c r="B14" s="135" t="n">
        <x:f>(B11*'Assumptions'!$C$19+B12*'Assumptions'!$C$20)*'Assumptions'!$C$21+B13*'Assumptions'!$C$23+(B11+B12)*'Assumptions'!$C$22</x:f>
        <x:v>19.42224</x:v>
      </x:c>
      <x:c r="C14" s="135" t="n">
        <x:f>(C11*'Assumptions'!$C$19+C12*'Assumptions'!$C$20)*'Assumptions'!$C$21+C13*'Assumptions'!$C$23+(C11+C12)*'Assumptions'!$C$22</x:f>
        <x:v>38.69137920000001</x:v>
      </x:c>
      <x:c r="D14" s="135" t="n">
        <x:f>(D11*'Assumptions'!$C$19+D12*'Assumptions'!$C$20)*'Assumptions'!$C$21+D13*'Assumptions'!$C$23+(D11+D12)*'Assumptions'!$C$22</x:f>
        <x:v>57.86605132800001</x:v>
      </x:c>
      <x:c r="E14" s="135" t="n">
        <x:f>(E11*'Assumptions'!$C$19+E12*'Assumptions'!$C$20)*'Assumptions'!$C$21+E13*'Assumptions'!$C$23+(E11+E12)*'Assumptions'!$C$22</x:f>
        <x:v>77.00335910400001</x:v>
      </x:c>
      <x:c r="F14" s="135" t="n">
        <x:f>(F11*'Assumptions'!$C$19+F12*'Assumptions'!$C$20)*'Assumptions'!$C$21+F13*'Assumptions'!$C$23+(F11+F12)*'Assumptions'!$C$22</x:f>
        <x:v>96.15912605399042</x:v>
      </x:c>
      <x:c r="G14" s="135" t="n">
        <x:f>(G11*'Assumptions'!$C$19+G12*'Assumptions'!$C$20)*'Assumptions'!$C$21+G13*'Assumptions'!$C$23+(G11+G12)*'Assumptions'!$C$22</x:f>
        <x:v>115.38813654130486</x:v>
      </x:c>
      <x:c r="H14" s="135" t="n">
        <x:f>(H11*'Assumptions'!$C$19+H12*'Assumptions'!$C$20)*'Assumptions'!$C$21+H13*'Assumptions'!$C$23+(H11+H12)*'Assumptions'!$C$22</x:f>
        <x:v>134.74436536329844</x:v>
      </x:c>
      <x:c r="I14" s="135" t="n">
        <x:f>(I11*'Assumptions'!$C$19+I12*'Assumptions'!$C$20)*'Assumptions'!$C$21+I13*'Assumptions'!$C$23+(I11+I12)*'Assumptions'!$C$22</x:f>
        <x:v>154.2811981787626</x:v>
      </x:c>
      <x:c r="J14" s="135" t="n">
        <x:f>(J11*'Assumptions'!$C$19+J12*'Assumptions'!$C$20)*'Assumptions'!$C$21+J13*'Assumptions'!$C$23+(J11+J12)*'Assumptions'!$C$22</x:f>
        <x:v>174.0516439569023</x:v>
      </x:c>
      <x:c r="K14" s="135" t="n">
        <x:f>(K11*'Assumptions'!$C$19+K12*'Assumptions'!$C$20)*'Assumptions'!$C$21+K13*'Assumptions'!$C$23+(K11+K12)*'Assumptions'!$C$22</x:f>
        <x:v>194.10854057153028</x:v>
      </x:c>
      <x:c r="L14" s="135" t="n">
        <x:f>(L11*'Assumptions'!$C$19+L12*'Assumptions'!$C$20)*'Assumptions'!$C$21+L13*'Assumptions'!$C$23+(L11+L12)*'Assumptions'!$C$22</x:f>
        <x:v>214.5047546038684</x:v>
      </x:c>
      <x:c r="M14" s="135" t="n">
        <x:f>(M11*'Assumptions'!$C$19+M12*'Assumptions'!$C$20)*'Assumptions'!$C$21+M13*'Assumptions'!$C$23+(M11+M12)*'Assumptions'!$C$22</x:f>
        <x:v>235.2933763635303</x:v>
      </x:c>
      <x:c r="N14" s="135" t="n">
        <x:f>(N11*'Assumptions'!$C$19+N12*'Assumptions'!$C$20)*'Assumptions'!$C$21+N13*'Assumptions'!$C$23+(N11+N12)*'Assumptions'!$C$22</x:f>
        <x:v>256.5279110894769</x:v>
      </x:c>
      <x:c r="O14" s="135" t="n">
        <x:f>(O11*'Assumptions'!$C$19+O12*'Assumptions'!$C$20)*'Assumptions'!$C$21+O13*'Assumptions'!$C$23+(O11+O12)*'Assumptions'!$C$22</x:f>
        <x:v>278.2624672506022</x:v>
      </x:c>
      <x:c r="P14" s="135" t="n">
        <x:f>(P11*'Assumptions'!$C$19+P12*'Assumptions'!$C$20)*'Assumptions'!$C$21+P13*'Assumptions'!$C$23+(P11+P12)*'Assumptions'!$C$22</x:f>
        <x:v>300.5519428287874</x:v>
      </x:c>
      <x:c r="Q14" s="135" t="n">
        <x:f>(Q11*'Assumptions'!$C$19+Q12*'Assumptions'!$C$20)*'Assumptions'!$C$21+Q13*'Assumptions'!$C$23+(Q11+Q12)*'Assumptions'!$C$22</x:f>
        <x:v>323.4522104354421</x:v>
      </x:c>
      <x:c r="R14" s="135" t="n">
        <x:f>(R11*'Assumptions'!$C$19+R12*'Assumptions'!$C$20)*'Assumptions'!$C$21+R13*'Assumptions'!$C$23+(R11+R12)*'Assumptions'!$C$22</x:f>
        <x:v>347.0203020854569</x:v>
      </x:c>
      <x:c r="S14" s="135" t="n">
        <x:f>(S11*'Assumptions'!$C$19+S12*'Assumptions'!$C$20)*'Assumptions'!$C$21+S13*'Assumptions'!$C$23+(S11+S12)*'Assumptions'!$C$22</x:f>
        <x:v>371.31459442987654</x:v>
      </x:c>
      <x:c r="T14" s="135" t="n">
        <x:f>(T11*'Assumptions'!$C$19+T12*'Assumptions'!$C$20)*'Assumptions'!$C$21+T13*'Assumptions'!$C$23+(T11+T12)*'Assumptions'!$C$22</x:f>
        <x:v>396.3949952302453</x:v>
      </x:c>
      <x:c r="U14" s="135" t="n">
        <x:f>(U11*'Assumptions'!$C$19+U12*'Assumptions'!$C$20)*'Assumptions'!$C$21+U13*'Assumptions'!$C$23+(U11+U12)*'Assumptions'!$C$22</x:f>
        <x:v>422.3231318432768</x:v>
      </x:c>
      <x:c r="V14" s="135" t="n">
        <x:f>(V11*'Assumptions'!$C$19+V12*'Assumptions'!$C$20)*'Assumptions'!$C$21+V13*'Assumptions'!$C$23+(V11+V12)*'Assumptions'!$C$22</x:f>
        <x:v>449.1625424741044</x:v>
      </x:c>
      <x:c r="W14" s="135" t="n">
        <x:f>(W11*'Assumptions'!$C$19+W12*'Assumptions'!$C$20)*'Assumptions'!$C$21+W13*'Assumptions'!$C$23+(W11+W12)*'Assumptions'!$C$22</x:f>
        <x:v>476.9788709496993</x:v>
      </x:c>
      <x:c r="X14" s="135" t="n">
        <x:f>(X11*'Assumptions'!$C$19+X12*'Assumptions'!$C$20)*'Assumptions'!$C$21+X13*'Assumptions'!$C$23+(X11+X12)*'Assumptions'!$C$22</x:f>
        <x:v>505.84006576101586</x:v>
      </x:c>
      <x:c r="Y14" s="135" t="n">
        <x:f>(Y11*'Assumptions'!$C$19+Y12*'Assumptions'!$C$20)*'Assumptions'!$C$21+Y13*'Assumptions'!$C$23+(Y11+Y12)*'Assumptions'!$C$22</x:f>
        <x:v>535.8165841228835</x:v>
      </x:c>
      <x:c r="Z14" s="135" t="n">
        <x:f>(Z11*'Assumptions'!$C$19+Z12*'Assumptions'!$C$20)*'Assumptions'!$C$21+Z13*'Assumptions'!$C$23+(Z11+Z12)*'Assumptions'!$C$22</x:f>
        <x:v>566.9816018045684</x:v>
      </x:c>
      <x:c r="AA14" s="135" t="n">
        <x:f>(AA11*'Assumptions'!$C$19+AA12*'Assumptions'!$C$20)*'Assumptions'!$C$21+AA13*'Assumptions'!$C$23+(AA11+AA12)*'Assumptions'!$C$22</x:f>
        <x:v>599.4112294911806</x:v>
      </x:c>
      <x:c r="AB14" s="135" t="n">
        <x:f>(AB11*'Assumptions'!$C$19+AB12*'Assumptions'!$C$20)*'Assumptions'!$C$21+AB13*'Assumptions'!$C$23+(AB11+AB12)*'Assumptions'!$C$22</x:f>
        <x:v>633.1847364466564</x:v>
      </x:c>
      <x:c r="AC14" s="135" t="n">
        <x:f>(AC11*'Assumptions'!$C$19+AC12*'Assumptions'!$C$20)*'Assumptions'!$C$21+AC13*'Assumptions'!$C$23+(AC11+AC12)*'Assumptions'!$C$22</x:f>
        <x:v>668.3847822628858</x:v>
      </x:c>
      <x:c r="AD14" s="135" t="n">
        <x:f>(AD11*'Assumptions'!$C$19+AD12*'Assumptions'!$C$20)*'Assumptions'!$C$21+AD13*'Assumptions'!$C$23+(AD11+AD12)*'Assumptions'!$C$22</x:f>
        <x:v>705.0976574966246</x:v>
      </x:c>
      <x:c r="AE14" s="135" t="n">
        <x:f>(AE11*'Assumptions'!$C$19+AE12*'Assumptions'!$C$20)*'Assumptions'!$C$21+AE13*'Assumptions'!$C$23+(AE11+AE12)*'Assumptions'!$C$22</x:f>
        <x:v>743.4135340161838</x:v>
      </x:c>
      <x:c r="AF14" s="135" t="n">
        <x:f>(AF11*'Assumptions'!$C$19+AF12*'Assumptions'!$C$20)*'Assumptions'!$C$21+AF13*'Assumptions'!$C$23+(AF11+AF12)*'Assumptions'!$C$22</x:f>
        <x:v>783.4267259034689</x:v>
      </x:c>
      <x:c r="AG14" s="135" t="n">
        <x:f>(AG11*'Assumptions'!$C$19+AG12*'Assumptions'!$C$20)*'Assumptions'!$C$21+AG13*'Assumptions'!$C$23+(AG11+AG12)*'Assumptions'!$C$22</x:f>
        <x:v>825.2359617838574</x:v>
      </x:c>
      <x:c r="AH14" s="135" t="n">
        <x:f>(AH11*'Assumptions'!$C$19+AH12*'Assumptions'!$C$20)*'Assumptions'!$C$21+AH13*'Assumptions'!$C$23+(AH11+AH12)*'Assumptions'!$C$22</x:f>
        <x:v>868.9446694866112</x:v>
      </x:c>
      <x:c r="AI14" s="135" t="n">
        <x:f>(AI11*'Assumptions'!$C$19+AI12*'Assumptions'!$C$20)*'Assumptions'!$C$21+AI13*'Assumptions'!$C$23+(AI11+AI12)*'Assumptions'!$C$22</x:f>
        <x:v>914.6612739721622</x:v>
      </x:c>
      <x:c r="AJ14" s="135" t="n">
        <x:f>(AJ11*'Assumptions'!$C$19+AJ12*'Assumptions'!$C$20)*'Assumptions'!$C$21+AJ13*'Assumptions'!$C$23+(AJ11+AJ12)*'Assumptions'!$C$22</x:f>
        <x:v>962.4995094996901</x:v>
      </x:c>
      <x:c r="AK14" s="135" t="n">
        <x:f>(AK11*'Assumptions'!$C$19+AK12*'Assumptions'!$C$20)*'Assumptions'!$C$21+AK13*'Assumptions'!$C$23+(AK11+AK12)*'Assumptions'!$C$22</x:f>
        <x:v>1012.5787470490607</x:v>
      </x:c>
    </x:row>
    <x:row r="15">
      <x:c r="A15" s="134" t="str">
        <x:v>Operating expenses</x:v>
      </x:c>
      <x:c r="B15" s="135" t="n">
        <x:f>'Assumptions'!$C$25*(1+'Assumptions'!$C$26)^(1-1)+'Assumptions'!$C$27+IF(1&gt;='Assumptions'!$C$29,'Assumptions'!$C$28,0)+IF(1&gt;='Assumptions'!$C$31,'Assumptions'!$C$30,0)+'Assumptions'!$C$32*(1+'Assumptions'!$C$33)^(1-1)+'Assumptions'!$C$34</x:f>
        <x:v>3000</x:v>
      </x:c>
      <x:c r="C15" s="135" t="n">
        <x:f>'Assumptions'!$C$25*(1+'Assumptions'!$C$26)^(2-1)+'Assumptions'!$C$27+IF(2&gt;='Assumptions'!$C$29,'Assumptions'!$C$28,0)+IF(2&gt;='Assumptions'!$C$31,'Assumptions'!$C$30,0)+'Assumptions'!$C$32*(1+'Assumptions'!$C$33)^(2-1)+'Assumptions'!$C$34</x:f>
        <x:v>3028.5</x:v>
      </x:c>
      <x:c r="D15" s="135" t="n">
        <x:f>'Assumptions'!$C$25*(1+'Assumptions'!$C$26)^(3-1)+'Assumptions'!$C$27+IF(3&gt;='Assumptions'!$C$29,'Assumptions'!$C$28,0)+IF(3&gt;='Assumptions'!$C$31,'Assumptions'!$C$30,0)+'Assumptions'!$C$32*(1+'Assumptions'!$C$33)^(3-1)+'Assumptions'!$C$34</x:f>
        <x:v>3057.855</x:v>
      </x:c>
      <x:c r="E15" s="135" t="n">
        <x:f>'Assumptions'!$C$25*(1+'Assumptions'!$C$26)^(4-1)+'Assumptions'!$C$27+IF(4&gt;='Assumptions'!$C$29,'Assumptions'!$C$28,0)+IF(4&gt;='Assumptions'!$C$31,'Assumptions'!$C$30,0)+'Assumptions'!$C$32*(1+'Assumptions'!$C$33)^(4-1)+'Assumptions'!$C$34</x:f>
        <x:v>3088.09065</x:v>
      </x:c>
      <x:c r="F15" s="135" t="n">
        <x:f>'Assumptions'!$C$25*(1+'Assumptions'!$C$26)^(5-1)+'Assumptions'!$C$27+IF(5&gt;='Assumptions'!$C$29,'Assumptions'!$C$28,0)+IF(5&gt;='Assumptions'!$C$31,'Assumptions'!$C$30,0)+'Assumptions'!$C$32*(1+'Assumptions'!$C$33)^(5-1)+'Assumptions'!$C$34</x:f>
        <x:v>3119.2333695</x:v>
      </x:c>
      <x:c r="G15" s="135" t="n">
        <x:f>'Assumptions'!$C$25*(1+'Assumptions'!$C$26)^(6-1)+'Assumptions'!$C$27+IF(6&gt;='Assumptions'!$C$29,'Assumptions'!$C$28,0)+IF(6&gt;='Assumptions'!$C$31,'Assumptions'!$C$30,0)+'Assumptions'!$C$32*(1+'Assumptions'!$C$33)^(6-1)+'Assumptions'!$C$34</x:f>
        <x:v>3151.310370585</x:v>
      </x:c>
      <x:c r="H15" s="135" t="n">
        <x:f>'Assumptions'!$C$25*(1+'Assumptions'!$C$26)^(7-1)+'Assumptions'!$C$27+IF(7&gt;='Assumptions'!$C$29,'Assumptions'!$C$28,0)+IF(7&gt;='Assumptions'!$C$31,'Assumptions'!$C$30,0)+'Assumptions'!$C$32*(1+'Assumptions'!$C$33)^(7-1)+'Assumptions'!$C$34</x:f>
        <x:v>3184.34968170255</x:v>
      </x:c>
      <x:c r="I15" s="135" t="n">
        <x:f>'Assumptions'!$C$25*(1+'Assumptions'!$C$26)^(8-1)+'Assumptions'!$C$27+IF(8&gt;='Assumptions'!$C$29,'Assumptions'!$C$28,0)+IF(8&gt;='Assumptions'!$C$31,'Assumptions'!$C$30,0)+'Assumptions'!$C$32*(1+'Assumptions'!$C$33)^(8-1)+'Assumptions'!$C$34</x:f>
        <x:v>3218.3801721536265</x:v>
      </x:c>
      <x:c r="J15" s="135" t="n">
        <x:f>'Assumptions'!$C$25*(1+'Assumptions'!$C$26)^(9-1)+'Assumptions'!$C$27+IF(9&gt;='Assumptions'!$C$29,'Assumptions'!$C$28,0)+IF(9&gt;='Assumptions'!$C$31,'Assumptions'!$C$30,0)+'Assumptions'!$C$32*(1+'Assumptions'!$C$33)^(9-1)+'Assumptions'!$C$34</x:f>
        <x:v>3253.4315773182357</x:v>
      </x:c>
      <x:c r="K15" s="135" t="n">
        <x:f>'Assumptions'!$C$25*(1+'Assumptions'!$C$26)^(10-1)+'Assumptions'!$C$27+IF(10&gt;='Assumptions'!$C$29,'Assumptions'!$C$28,0)+IF(10&gt;='Assumptions'!$C$31,'Assumptions'!$C$30,0)+'Assumptions'!$C$32*(1+'Assumptions'!$C$33)^(10-1)+'Assumptions'!$C$34</x:f>
        <x:v>6289.534524637782</x:v>
      </x:c>
      <x:c r="L15" s="135" t="n">
        <x:f>'Assumptions'!$C$25*(1+'Assumptions'!$C$26)^(11-1)+'Assumptions'!$C$27+IF(11&gt;='Assumptions'!$C$29,'Assumptions'!$C$28,0)+IF(11&gt;='Assumptions'!$C$31,'Assumptions'!$C$30,0)+'Assumptions'!$C$32*(1+'Assumptions'!$C$33)^(11-1)+'Assumptions'!$C$34</x:f>
        <x:v>6326.720560376915</x:v>
      </x:c>
      <x:c r="M15" s="135" t="n">
        <x:f>'Assumptions'!$C$25*(1+'Assumptions'!$C$26)^(12-1)+'Assumptions'!$C$27+IF(12&gt;='Assumptions'!$C$29,'Assumptions'!$C$28,0)+IF(12&gt;='Assumptions'!$C$31,'Assumptions'!$C$30,0)+'Assumptions'!$C$32*(1+'Assumptions'!$C$33)^(12-1)+'Assumptions'!$C$34</x:f>
        <x:v>6365.022177188223</x:v>
      </x:c>
      <x:c r="N15" s="135" t="n">
        <x:f>'Assumptions'!$C$25*(1+'Assumptions'!$C$26)^(13-1)+'Assumptions'!$C$27+IF(13&gt;='Assumptions'!$C$29,'Assumptions'!$C$28,0)+IF(13&gt;='Assumptions'!$C$31,'Assumptions'!$C$30,0)+'Assumptions'!$C$32*(1+'Assumptions'!$C$33)^(13-1)+'Assumptions'!$C$34</x:f>
        <x:v>6404.472842503871</x:v>
      </x:c>
      <x:c r="O15" s="135" t="n">
        <x:f>'Assumptions'!$C$25*(1+'Assumptions'!$C$26)^(14-1)+'Assumptions'!$C$27+IF(14&gt;='Assumptions'!$C$29,'Assumptions'!$C$28,0)+IF(14&gt;='Assumptions'!$C$31,'Assumptions'!$C$30,0)+'Assumptions'!$C$32*(1+'Assumptions'!$C$33)^(14-1)+'Assumptions'!$C$34</x:f>
        <x:v>6445.107027778986</x:v>
      </x:c>
      <x:c r="P15" s="135" t="n">
        <x:f>'Assumptions'!$C$25*(1+'Assumptions'!$C$26)^(15-1)+'Assumptions'!$C$27+IF(15&gt;='Assumptions'!$C$29,'Assumptions'!$C$28,0)+IF(15&gt;='Assumptions'!$C$31,'Assumptions'!$C$30,0)+'Assumptions'!$C$32*(1+'Assumptions'!$C$33)^(15-1)+'Assumptions'!$C$34</x:f>
        <x:v>6486.960238612357</x:v>
      </x:c>
      <x:c r="Q15" s="135" t="n">
        <x:f>'Assumptions'!$C$25*(1+'Assumptions'!$C$26)^(16-1)+'Assumptions'!$C$27+IF(16&gt;='Assumptions'!$C$29,'Assumptions'!$C$28,0)+IF(16&gt;='Assumptions'!$C$31,'Assumptions'!$C$30,0)+'Assumptions'!$C$32*(1+'Assumptions'!$C$33)^(16-1)+'Assumptions'!$C$34</x:f>
        <x:v>8330.069045770728</x:v>
      </x:c>
      <x:c r="R15" s="135" t="n">
        <x:f>'Assumptions'!$C$25*(1+'Assumptions'!$C$26)^(17-1)+'Assumptions'!$C$27+IF(17&gt;='Assumptions'!$C$29,'Assumptions'!$C$28,0)+IF(17&gt;='Assumptions'!$C$31,'Assumptions'!$C$30,0)+'Assumptions'!$C$32*(1+'Assumptions'!$C$33)^(17-1)+'Assumptions'!$C$34</x:f>
        <x:v>8374.471117143848</x:v>
      </x:c>
      <x:c r="S15" s="135" t="n">
        <x:f>'Assumptions'!$C$25*(1+'Assumptions'!$C$26)^(18-1)+'Assumptions'!$C$27+IF(18&gt;='Assumptions'!$C$29,'Assumptions'!$C$28,0)+IF(18&gt;='Assumptions'!$C$31,'Assumptions'!$C$30,0)+'Assumptions'!$C$32*(1+'Assumptions'!$C$33)^(18-1)+'Assumptions'!$C$34</x:f>
        <x:v>8420.205250658164</x:v>
      </x:c>
      <x:c r="T15" s="135" t="n">
        <x:f>'Assumptions'!$C$25*(1+'Assumptions'!$C$26)^(19-1)+'Assumptions'!$C$27+IF(19&gt;='Assumptions'!$C$29,'Assumptions'!$C$28,0)+IF(19&gt;='Assumptions'!$C$31,'Assumptions'!$C$30,0)+'Assumptions'!$C$32*(1+'Assumptions'!$C$33)^(19-1)+'Assumptions'!$C$34</x:f>
        <x:v>8467.31140817791</x:v>
      </x:c>
      <x:c r="U15" s="135" t="n">
        <x:f>'Assumptions'!$C$25*(1+'Assumptions'!$C$26)^(20-1)+'Assumptions'!$C$27+IF(20&gt;='Assumptions'!$C$29,'Assumptions'!$C$28,0)+IF(20&gt;='Assumptions'!$C$31,'Assumptions'!$C$30,0)+'Assumptions'!$C$32*(1+'Assumptions'!$C$33)^(20-1)+'Assumptions'!$C$34</x:f>
        <x:v>8515.830750423247</x:v>
      </x:c>
      <x:c r="V15" s="135" t="n">
        <x:f>'Assumptions'!$C$25*(1+'Assumptions'!$C$26)^(21-1)+'Assumptions'!$C$27+IF(21&gt;='Assumptions'!$C$29,'Assumptions'!$C$28,0)+IF(21&gt;='Assumptions'!$C$31,'Assumptions'!$C$30,0)+'Assumptions'!$C$32*(1+'Assumptions'!$C$33)^(21-1)+'Assumptions'!$C$34</x:f>
        <x:v>8565.805672935945</x:v>
      </x:c>
      <x:c r="W15" s="135" t="n">
        <x:f>'Assumptions'!$C$25*(1+'Assumptions'!$C$26)^(22-1)+'Assumptions'!$C$27+IF(22&gt;='Assumptions'!$C$29,'Assumptions'!$C$28,0)+IF(22&gt;='Assumptions'!$C$31,'Assumptions'!$C$30,0)+'Assumptions'!$C$32*(1+'Assumptions'!$C$33)^(22-1)+'Assumptions'!$C$34</x:f>
        <x:v>8617.279843124023</x:v>
      </x:c>
      <x:c r="X15" s="135" t="n">
        <x:f>'Assumptions'!$C$25*(1+'Assumptions'!$C$26)^(23-1)+'Assumptions'!$C$27+IF(23&gt;='Assumptions'!$C$29,'Assumptions'!$C$28,0)+IF(23&gt;='Assumptions'!$C$31,'Assumptions'!$C$30,0)+'Assumptions'!$C$32*(1+'Assumptions'!$C$33)^(23-1)+'Assumptions'!$C$34</x:f>
        <x:v>8670.298238417743</x:v>
      </x:c>
      <x:c r="Y15" s="135" t="n">
        <x:f>'Assumptions'!$C$25*(1+'Assumptions'!$C$26)^(24-1)+'Assumptions'!$C$27+IF(24&gt;='Assumptions'!$C$29,'Assumptions'!$C$28,0)+IF(24&gt;='Assumptions'!$C$31,'Assumptions'!$C$30,0)+'Assumptions'!$C$32*(1+'Assumptions'!$C$33)^(24-1)+'Assumptions'!$C$34</x:f>
        <x:v>8724.907185570275</x:v>
      </x:c>
      <x:c r="Z15" s="135" t="n">
        <x:f>'Assumptions'!$C$25*(1+'Assumptions'!$C$26)^(25-1)+'Assumptions'!$C$27+IF(25&gt;='Assumptions'!$C$29,'Assumptions'!$C$28,0)+IF(25&gt;='Assumptions'!$C$31,'Assumptions'!$C$30,0)+'Assumptions'!$C$32*(1+'Assumptions'!$C$33)^(25-1)+'Assumptions'!$C$34</x:f>
        <x:v>8781.154401137384</x:v>
      </x:c>
      <x:c r="AA15" s="135" t="n">
        <x:f>'Assumptions'!$C$25*(1+'Assumptions'!$C$26)^(26-1)+'Assumptions'!$C$27+IF(26&gt;='Assumptions'!$C$29,'Assumptions'!$C$28,0)+IF(26&gt;='Assumptions'!$C$31,'Assumptions'!$C$30,0)+'Assumptions'!$C$32*(1+'Assumptions'!$C$33)^(26-1)+'Assumptions'!$C$34</x:f>
        <x:v>8839.089033171505</x:v>
      </x:c>
      <x:c r="AB15" s="135" t="n">
        <x:f>'Assumptions'!$C$25*(1+'Assumptions'!$C$26)^(27-1)+'Assumptions'!$C$27+IF(27&gt;='Assumptions'!$C$29,'Assumptions'!$C$28,0)+IF(27&gt;='Assumptions'!$C$31,'Assumptions'!$C$30,0)+'Assumptions'!$C$32*(1+'Assumptions'!$C$33)^(27-1)+'Assumptions'!$C$34</x:f>
        <x:v>8898.76170416665</x:v>
      </x:c>
      <x:c r="AC15" s="135" t="n">
        <x:f>'Assumptions'!$C$25*(1+'Assumptions'!$C$26)^(28-1)+'Assumptions'!$C$27+IF(28&gt;='Assumptions'!$C$29,'Assumptions'!$C$28,0)+IF(28&gt;='Assumptions'!$C$31,'Assumptions'!$C$30,0)+'Assumptions'!$C$32*(1+'Assumptions'!$C$33)^(28-1)+'Assumptions'!$C$34</x:f>
        <x:v>8960.22455529165</x:v>
      </x:c>
      <x:c r="AD15" s="135" t="n">
        <x:f>'Assumptions'!$C$25*(1+'Assumptions'!$C$26)^(29-1)+'Assumptions'!$C$27+IF(29&gt;='Assumptions'!$C$29,'Assumptions'!$C$28,0)+IF(29&gt;='Assumptions'!$C$31,'Assumptions'!$C$30,0)+'Assumptions'!$C$32*(1+'Assumptions'!$C$33)^(29-1)+'Assumptions'!$C$34</x:f>
        <x:v>9023.5312919504</x:v>
      </x:c>
      <x:c r="AE15" s="135" t="n">
        <x:f>'Assumptions'!$C$25*(1+'Assumptions'!$C$26)^(30-1)+'Assumptions'!$C$27+IF(30&gt;='Assumptions'!$C$29,'Assumptions'!$C$28,0)+IF(30&gt;='Assumptions'!$C$31,'Assumptions'!$C$30,0)+'Assumptions'!$C$32*(1+'Assumptions'!$C$33)^(30-1)+'Assumptions'!$C$34</x:f>
        <x:v>9088.737230708912</x:v>
      </x:c>
      <x:c r="AF15" s="135" t="n">
        <x:f>'Assumptions'!$C$25*(1+'Assumptions'!$C$26)^(31-1)+'Assumptions'!$C$27+IF(31&gt;='Assumptions'!$C$29,'Assumptions'!$C$28,0)+IF(31&gt;='Assumptions'!$C$31,'Assumptions'!$C$30,0)+'Assumptions'!$C$32*(1+'Assumptions'!$C$33)^(31-1)+'Assumptions'!$C$34</x:f>
        <x:v>9155.899347630178</x:v>
      </x:c>
      <x:c r="AG15" s="135" t="n">
        <x:f>'Assumptions'!$C$25*(1+'Assumptions'!$C$26)^(32-1)+'Assumptions'!$C$27+IF(32&gt;='Assumptions'!$C$29,'Assumptions'!$C$28,0)+IF(32&gt;='Assumptions'!$C$31,'Assumptions'!$C$30,0)+'Assumptions'!$C$32*(1+'Assumptions'!$C$33)^(32-1)+'Assumptions'!$C$34</x:f>
        <x:v>9225.076328059084</x:v>
      </x:c>
      <x:c r="AH15" s="135" t="n">
        <x:f>'Assumptions'!$C$25*(1+'Assumptions'!$C$26)^(33-1)+'Assumptions'!$C$27+IF(33&gt;='Assumptions'!$C$29,'Assumptions'!$C$28,0)+IF(33&gt;='Assumptions'!$C$31,'Assumptions'!$C$30,0)+'Assumptions'!$C$32*(1+'Assumptions'!$C$33)^(33-1)+'Assumptions'!$C$34</x:f>
        <x:v>9296.328617900857</x:v>
      </x:c>
      <x:c r="AI15" s="135" t="n">
        <x:f>'Assumptions'!$C$25*(1+'Assumptions'!$C$26)^(34-1)+'Assumptions'!$C$27+IF(34&gt;='Assumptions'!$C$29,'Assumptions'!$C$28,0)+IF(34&gt;='Assumptions'!$C$31,'Assumptions'!$C$30,0)+'Assumptions'!$C$32*(1+'Assumptions'!$C$33)^(34-1)+'Assumptions'!$C$34</x:f>
        <x:v>9369.718476437884</x:v>
      </x:c>
      <x:c r="AJ15" s="135" t="n">
        <x:f>'Assumptions'!$C$25*(1+'Assumptions'!$C$26)^(35-1)+'Assumptions'!$C$27+IF(35&gt;='Assumptions'!$C$29,'Assumptions'!$C$28,0)+IF(35&gt;='Assumptions'!$C$31,'Assumptions'!$C$30,0)+'Assumptions'!$C$32*(1+'Assumptions'!$C$33)^(35-1)+'Assumptions'!$C$34</x:f>
        <x:v>9445.31003073102</x:v>
      </x:c>
      <x:c r="AK15" s="135" t="n">
        <x:f>'Assumptions'!$C$25*(1+'Assumptions'!$C$26)^(36-1)+'Assumptions'!$C$27+IF(36&gt;='Assumptions'!$C$29,'Assumptions'!$C$28,0)+IF(36&gt;='Assumptions'!$C$31,'Assumptions'!$C$30,0)+'Assumptions'!$C$32*(1+'Assumptions'!$C$33)^(36-1)+'Assumptions'!$C$34</x:f>
        <x:v>9523.169331652949</x:v>
      </x:c>
    </x:row>
    <x:row r="16">
      <x:c r="A16" s="134" t="str">
        <x:v>Operating profit</x:v>
      </x:c>
      <x:c r="B16" s="135" t="n">
        <x:f>B13-B14-B15</x:f>
        <x:v>-2885.10224</x:v>
      </x:c>
      <x:c r="C16" s="135" t="n">
        <x:f>C13-C14-C15</x:f>
        <x:v>-2799.6457792</x:v>
      </x:c>
      <x:c r="D16" s="135" t="n">
        <x:f>D13-D14-D15</x:f>
        <x:v>-2715.632347328</x:v>
      </x:c>
      <x:c r="E16" s="135" t="n">
        <x:f>E13-E14-E15</x:f>
        <x:v>-2632.743737104</x:v>
      </x:c>
      <x:c r="F16" s="135" t="n">
        <x:f>F13-F14-F15</x:f>
        <x:v>-2550.6703870867905</x:v>
      </x:c>
      <x:c r="G16" s="135" t="n">
        <x:f>G13-G14-G15</x:f>
        <x:v>-2469.1099405481286</x:v>
      </x:c>
      <x:c r="H16" s="135" t="n">
        <x:f>H13-H14-H15</x:f>
        <x:v>-2387.765869212756</x:v>
      </x:c>
      <x:c r="I16" s="135" t="n">
        <x:f>I13-I14-I15</x:f>
        <x:v>-2306.346154123483</x:v>
      </x:c>
      <x:c r="J16" s="135" t="n">
        <x:f>J13-J14-J15</x:f>
        <x:v>-2224.5620163497833</x:v>
      </x:c>
      <x:c r="K16" s="135" t="n">
        <x:f>K13-K14-K15</x:f>
        <x:v>-5142.1266906720475</x:v>
      </x:c>
      <x:c r="L16" s="135" t="n">
        <x:f>L13-L14-L15</x:f>
        <x:v>-5058.7542357448865</x:v>
      </x:c>
      <x:c r="M16" s="135" t="n">
        <x:f>M13-M14-M15</x:f>
        <x:v>-4974.158374574557</x:v>
      </x:c>
      <x:c r="N16" s="135" t="n">
        <x:f>N13-N14-N15</x:f>
        <x:v>-4888.051359440229</x:v>
      </x:c>
      <x:c r="O16" s="135" t="n">
        <x:f>O13-O14-O15</x:f>
        <x:v>-4800.142855648743</x:v>
      </x:c>
      <x:c r="P16" s="135" t="n">
        <x:f>P13-P14-P15</x:f>
        <x:v>-4710.138838739843</x:v>
      </x:c>
      <x:c r="Q16" s="135" t="n">
        <x:f>Q13-Q14-Q15</x:f>
        <x:v>-6417.740499955496</x:v>
      </x:c>
      <x:c r="R16" s="135" t="n">
        <x:f>R13-R14-R15</x:f>
        <x:v>-6322.643154954583</x:v>
      </x:c>
      <x:c r="S16" s="135" t="n">
        <x:f>S13-S14-S15</x:f>
        <x:v>-6224.535150894373</x:v>
      </x:c>
      <x:c r="T16" s="135" t="n">
        <x:f>T13-T14-T15</x:f>
        <x:v>-6123.096767114224</x:v>
      </x:c>
      <x:c r="U16" s="135" t="n">
        <x:f>U13-U14-U15</x:f>
        <x:v>-6017.999104746148</x:v>
      </x:c>
      <x:c r="V16" s="135" t="n">
        <x:f>V13-V14-V15</x:f>
        <x:v>-5908.902960642026</x:v>
      </x:c>
      <x:c r="W16" s="135" t="n">
        <x:f>W13-W14-W15</x:f>
        <x:v>-5795.457681049631</x:v>
      </x:c>
      <x:c r="X16" s="135" t="n">
        <x:f>X13-X14-X15</x:f>
        <x:v>-5677.299990489655</x:v>
      </x:c>
      <x:c r="Y16" s="135" t="n">
        <x:f>Y13-Y14-Y15</x:f>
        <x:v>-5554.052791284547</x:v>
      </x:c>
      <x:c r="Z16" s="135" t="n">
        <x:f>Z13-Z14-Z15</x:f>
        <x:v>-5425.32392916754</x:v>
      </x:c>
      <x:c r="AA16" s="135" t="n">
        <x:f>AA13-AA14-AA15</x:f>
        <x:v>-5290.704920357213</x:v>
      </x:c>
      <x:c r="AB16" s="135" t="n">
        <x:f>AB13-AB14-AB15</x:f>
        <x:v>-5149.769635419776</x:v>
      </x:c>
      <x:c r="AC16" s="135" t="n">
        <x:f>AC13-AC14-AC15</x:f>
        <x:v>-5002.072935157846</x:v>
      </x:c>
      <x:c r="AD16" s="135" t="n">
        <x:f>AD13-AD14-AD15</x:f>
        <x:v>-4847.149253661382</x:v>
      </x:c>
      <x:c r="AE16" s="135" t="n">
        <x:f>AE13-AE14-AE15</x:f>
        <x:v>-4684.511123533234</x:v>
      </x:c>
      <x:c r="AF16" s="135" t="n">
        <x:f>AF13-AF14-AF15</x:f>
        <x:v>-4513.647638158615</x:v>
      </x:c>
      <x:c r="AG16" s="135" t="n">
        <x:f>AG13-AG14-AG15</x:f>
        <x:v>-4334.022845724568</x:v>
      </x:c>
      <x:c r="AH16" s="135" t="n">
        <x:f>AH13-AH14-AH15</x:f>
        <x:v>-4145.074069511668</x:v>
      </x:c>
      <x:c r="AI16" s="135" t="n">
        <x:f>AI13-AI14-AI15</x:f>
        <x:v>-3946.2101487757427</x:v>
      </x:c>
      <x:c r="AJ16" s="135" t="n">
        <x:f>AJ13-AJ14-AJ15</x:f>
        <x:v>-3736.809594311586</x:v>
      </x:c>
      <x:c r="AK16" s="135" t="n">
        <x:f>AK13-AK14-AK15</x:f>
        <x:v>-3516.21865254318</x:v>
      </x:c>
    </x:row>
    <x:row r="17">
      <x:c r="A17" s="134" t="str">
        <x:v>Financing</x:v>
      </x:c>
      <x:c r="B17" s="135" t="n">
        <x:f>IF(1='Assumptions'!$C$37,'Assumptions'!$C$36,0)</x:f>
        <x:v>0</x:v>
      </x:c>
      <x:c r="C17" s="135" t="n">
        <x:f>IF(2='Assumptions'!$C$37,'Assumptions'!$C$36,0)</x:f>
        <x:v>0</x:v>
      </x:c>
      <x:c r="D17" s="135" t="n">
        <x:f>IF(3='Assumptions'!$C$37,'Assumptions'!$C$36,0)</x:f>
        <x:v>0</x:v>
      </x:c>
      <x:c r="E17" s="135" t="n">
        <x:f>IF(4='Assumptions'!$C$37,'Assumptions'!$C$36,0)</x:f>
        <x:v>0</x:v>
      </x:c>
      <x:c r="F17" s="135" t="n">
        <x:f>IF(5='Assumptions'!$C$37,'Assumptions'!$C$36,0)</x:f>
        <x:v>0</x:v>
      </x:c>
      <x:c r="G17" s="135" t="n">
        <x:f>IF(6='Assumptions'!$C$37,'Assumptions'!$C$36,0)</x:f>
        <x:v>0</x:v>
      </x:c>
      <x:c r="H17" s="135" t="n">
        <x:f>IF(7='Assumptions'!$C$37,'Assumptions'!$C$36,0)</x:f>
        <x:v>0</x:v>
      </x:c>
      <x:c r="I17" s="135" t="n">
        <x:f>IF(8='Assumptions'!$C$37,'Assumptions'!$C$36,0)</x:f>
        <x:v>0</x:v>
      </x:c>
      <x:c r="J17" s="135" t="n">
        <x:f>IF(9='Assumptions'!$C$37,'Assumptions'!$C$36,0)</x:f>
        <x:v>0</x:v>
      </x:c>
      <x:c r="K17" s="135" t="n">
        <x:f>IF(10='Assumptions'!$C$37,'Assumptions'!$C$36,0)</x:f>
        <x:v>0</x:v>
      </x:c>
      <x:c r="L17" s="135" t="n">
        <x:f>IF(11='Assumptions'!$C$37,'Assumptions'!$C$36,0)</x:f>
        <x:v>0</x:v>
      </x:c>
      <x:c r="M17" s="135" t="n">
        <x:f>IF(12='Assumptions'!$C$37,'Assumptions'!$C$36,0)</x:f>
        <x:v>0</x:v>
      </x:c>
      <x:c r="N17" s="135" t="n">
        <x:f>IF(13='Assumptions'!$C$37,'Assumptions'!$C$36,0)</x:f>
        <x:v>100000</x:v>
      </x:c>
      <x:c r="O17" s="135" t="n">
        <x:f>IF(14='Assumptions'!$C$37,'Assumptions'!$C$36,0)</x:f>
        <x:v>0</x:v>
      </x:c>
      <x:c r="P17" s="135" t="n">
        <x:f>IF(15='Assumptions'!$C$37,'Assumptions'!$C$36,0)</x:f>
        <x:v>0</x:v>
      </x:c>
      <x:c r="Q17" s="135" t="n">
        <x:f>IF(16='Assumptions'!$C$37,'Assumptions'!$C$36,0)</x:f>
        <x:v>0</x:v>
      </x:c>
      <x:c r="R17" s="135" t="n">
        <x:f>IF(17='Assumptions'!$C$37,'Assumptions'!$C$36,0)</x:f>
        <x:v>0</x:v>
      </x:c>
      <x:c r="S17" s="135" t="n">
        <x:f>IF(18='Assumptions'!$C$37,'Assumptions'!$C$36,0)</x:f>
        <x:v>0</x:v>
      </x:c>
      <x:c r="T17" s="135" t="n">
        <x:f>IF(19='Assumptions'!$C$37,'Assumptions'!$C$36,0)</x:f>
        <x:v>0</x:v>
      </x:c>
      <x:c r="U17" s="135" t="n">
        <x:f>IF(20='Assumptions'!$C$37,'Assumptions'!$C$36,0)</x:f>
        <x:v>0</x:v>
      </x:c>
      <x:c r="V17" s="135" t="n">
        <x:f>IF(21='Assumptions'!$C$37,'Assumptions'!$C$36,0)</x:f>
        <x:v>0</x:v>
      </x:c>
      <x:c r="W17" s="135" t="n">
        <x:f>IF(22='Assumptions'!$C$37,'Assumptions'!$C$36,0)</x:f>
        <x:v>0</x:v>
      </x:c>
      <x:c r="X17" s="135" t="n">
        <x:f>IF(23='Assumptions'!$C$37,'Assumptions'!$C$36,0)</x:f>
        <x:v>0</x:v>
      </x:c>
      <x:c r="Y17" s="135" t="n">
        <x:f>IF(24='Assumptions'!$C$37,'Assumptions'!$C$36,0)</x:f>
        <x:v>0</x:v>
      </x:c>
      <x:c r="Z17" s="135" t="n">
        <x:f>IF(25='Assumptions'!$C$37,'Assumptions'!$C$36,0)</x:f>
        <x:v>0</x:v>
      </x:c>
      <x:c r="AA17" s="135" t="n">
        <x:f>IF(26='Assumptions'!$C$37,'Assumptions'!$C$36,0)</x:f>
        <x:v>0</x:v>
      </x:c>
      <x:c r="AB17" s="135" t="n">
        <x:f>IF(27='Assumptions'!$C$37,'Assumptions'!$C$36,0)</x:f>
        <x:v>0</x:v>
      </x:c>
      <x:c r="AC17" s="135" t="n">
        <x:f>IF(28='Assumptions'!$C$37,'Assumptions'!$C$36,0)</x:f>
        <x:v>0</x:v>
      </x:c>
      <x:c r="AD17" s="135" t="n">
        <x:f>IF(29='Assumptions'!$C$37,'Assumptions'!$C$36,0)</x:f>
        <x:v>0</x:v>
      </x:c>
      <x:c r="AE17" s="135" t="n">
        <x:f>IF(30='Assumptions'!$C$37,'Assumptions'!$C$36,0)</x:f>
        <x:v>0</x:v>
      </x:c>
      <x:c r="AF17" s="135" t="n">
        <x:f>IF(31='Assumptions'!$C$37,'Assumptions'!$C$36,0)</x:f>
        <x:v>0</x:v>
      </x:c>
      <x:c r="AG17" s="135" t="n">
        <x:f>IF(32='Assumptions'!$C$37,'Assumptions'!$C$36,0)</x:f>
        <x:v>0</x:v>
      </x:c>
      <x:c r="AH17" s="135" t="n">
        <x:f>IF(33='Assumptions'!$C$37,'Assumptions'!$C$36,0)</x:f>
        <x:v>0</x:v>
      </x:c>
      <x:c r="AI17" s="135" t="n">
        <x:f>IF(34='Assumptions'!$C$37,'Assumptions'!$C$36,0)</x:f>
        <x:v>0</x:v>
      </x:c>
      <x:c r="AJ17" s="135" t="n">
        <x:f>IF(35='Assumptions'!$C$37,'Assumptions'!$C$36,0)</x:f>
        <x:v>0</x:v>
      </x:c>
      <x:c r="AK17" s="135" t="n">
        <x:f>IF(36='Assumptions'!$C$37,'Assumptions'!$C$36,0)</x:f>
        <x:v>0</x:v>
      </x:c>
    </x:row>
    <x:row r="18">
      <x:c r="A18" s="134" t="str">
        <x:v>Ending cash</x:v>
      </x:c>
      <x:c r="B18" s="135" t="n">
        <x:f>'Assumptions'!$C$35+B16+B17</x:f>
        <x:v>32114.89776</x:v>
      </x:c>
      <x:c r="C18" s="135" t="n">
        <x:f>B18+C16+C17</x:f>
        <x:v>29315.2519808</x:v>
      </x:c>
      <x:c r="D18" s="135" t="n">
        <x:f>C18+D16+D17</x:f>
        <x:v>26599.619633472</x:v>
      </x:c>
      <x:c r="E18" s="135" t="n">
        <x:f>D18+E16+E17</x:f>
        <x:v>23966.875896368</x:v>
      </x:c>
      <x:c r="F18" s="135" t="n">
        <x:f>E18+F16+F17</x:f>
        <x:v>21416.20550928121</x:v>
      </x:c>
      <x:c r="G18" s="135" t="n">
        <x:f>F18+G16+G17</x:f>
        <x:v>18947.095568733082</x:v>
      </x:c>
      <x:c r="H18" s="135" t="n">
        <x:f>G18+H16+H17</x:f>
        <x:v>16559.329699520327</x:v>
      </x:c>
      <x:c r="I18" s="135" t="n">
        <x:f>H18+I16+I17</x:f>
        <x:v>14252.983545396844</x:v>
      </x:c>
      <x:c r="J18" s="135" t="n">
        <x:f>I18+J16+J17</x:f>
        <x:v>12028.42152904706</x:v>
      </x:c>
      <x:c r="K18" s="135" t="n">
        <x:f>J18+K16+K17</x:f>
        <x:v>6886.294838375013</x:v>
      </x:c>
      <x:c r="L18" s="135" t="n">
        <x:f>K18+L16+L17</x:f>
        <x:v>1827.5406026301262</x:v>
      </x:c>
      <x:c r="M18" s="135" t="n">
        <x:f>L18+M16+M17</x:f>
        <x:v>-3146.6177719444304</x:v>
      </x:c>
      <x:c r="N18" s="135" t="n">
        <x:f>M18+N16+N17</x:f>
        <x:v>91965.33086861535</x:v>
      </x:c>
      <x:c r="O18" s="135" t="n">
        <x:f>N18+O16+O17</x:f>
        <x:v>87165.18801296661</x:v>
      </x:c>
      <x:c r="P18" s="135" t="n">
        <x:f>O18+P16+P17</x:f>
        <x:v>82455.04917422676</x:v>
      </x:c>
      <x:c r="Q18" s="135" t="n">
        <x:f>P18+Q16+Q17</x:f>
        <x:v>76037.30867427126</x:v>
      </x:c>
      <x:c r="R18" s="135" t="n">
        <x:f>Q18+R16+R17</x:f>
        <x:v>69714.66551931668</x:v>
      </x:c>
      <x:c r="S18" s="135" t="n">
        <x:f>R18+S16+S17</x:f>
        <x:v>63490.13036842231</x:v>
      </x:c>
      <x:c r="T18" s="135" t="n">
        <x:f>S18+T16+T17</x:f>
        <x:v>57367.03360130808</x:v>
      </x:c>
      <x:c r="U18" s="135" t="n">
        <x:f>T18+U16+U17</x:f>
        <x:v>51349.03449656193</x:v>
      </x:c>
      <x:c r="V18" s="135" t="n">
        <x:f>U18+V16+V17</x:f>
        <x:v>45440.13153591991</x:v>
      </x:c>
      <x:c r="W18" s="135" t="n">
        <x:f>V18+W16+W17</x:f>
        <x:v>39644.67385487028</x:v>
      </x:c>
      <x:c r="X18" s="135" t="n">
        <x:f>W18+X16+X17</x:f>
        <x:v>33967.37386438062</x:v>
      </x:c>
      <x:c r="Y18" s="135" t="n">
        <x:f>X18+Y16+Y17</x:f>
        <x:v>28413.321073096075</x:v>
      </x:c>
      <x:c r="Z18" s="135" t="n">
        <x:f>Y18+Z16+Z17</x:f>
        <x:v>22987.997143928536</x:v>
      </x:c>
      <x:c r="AA18" s="135" t="n">
        <x:f>Z18+AA16+AA17</x:f>
        <x:v>17697.292223571323</x:v>
      </x:c>
      <x:c r="AB18" s="135" t="n">
        <x:f>AA18+AB16+AB17</x:f>
        <x:v>12547.522588151547</x:v>
      </x:c>
      <x:c r="AC18" s="135" t="n">
        <x:f>AB18+AC16+AC17</x:f>
        <x:v>7545.449652993701</x:v>
      </x:c>
      <x:c r="AD18" s="135" t="n">
        <x:f>AC18+AD16+AD17</x:f>
        <x:v>2698.300399332319</x:v>
      </x:c>
      <x:c r="AE18" s="135" t="n">
        <x:f>AD18+AE16+AE17</x:f>
        <x:v>-1986.2107242009151</x:v>
      </x:c>
      <x:c r="AF18" s="135" t="n">
        <x:f>AE18+AF16+AF17</x:f>
        <x:v>-6499.8583623595305</x:v>
      </x:c>
      <x:c r="AG18" s="135" t="n">
        <x:f>AF18+AG16+AG17</x:f>
        <x:v>-10833.881208084098</x:v>
      </x:c>
      <x:c r="AH18" s="135" t="n">
        <x:f>AG18+AH16+AH17</x:f>
        <x:v>-14978.955277595767</x:v>
      </x:c>
      <x:c r="AI18" s="135" t="n">
        <x:f>AH18+AI16+AI17</x:f>
        <x:v>-18925.16542637151</x:v>
      </x:c>
      <x:c r="AJ18" s="135" t="n">
        <x:f>AI18+AJ16+AJ17</x:f>
        <x:v>-22661.975020683094</x:v>
      </x:c>
      <x:c r="AK18" s="135" t="n">
        <x:f>AJ18+AK16+AK17</x:f>
        <x:v>-26178.193673226273</x:v>
      </x:c>
    </x:row>
    <x:row r="19">
      <x:c r="A19" s="134"/>
      <x:c r="B19" s="134"/>
      <x:c r="C19" s="134"/>
      <x:c r="D19" s="134"/>
      <x:c r="E19" s="134"/>
      <x:c r="F19" s="134"/>
      <x:c r="G19" s="134"/>
      <x:c r="H19" s="134"/>
      <x:c r="I19" s="134"/>
      <x:c r="J19" s="134"/>
      <x:c r="K19" s="134"/>
      <x:c r="L19" s="134"/>
      <x:c r="M19" s="134"/>
      <x:c r="N19" s="134"/>
      <x:c r="O19" s="134"/>
      <x:c r="P19" s="134"/>
      <x:c r="Q19" s="134"/>
      <x:c r="R19" s="134"/>
      <x:c r="S19" s="134"/>
      <x:c r="T19" s="134"/>
      <x:c r="U19" s="134"/>
      <x:c r="V19" s="134"/>
      <x:c r="W19" s="134"/>
      <x:c r="X19" s="134"/>
      <x:c r="Y19" s="134"/>
      <x:c r="Z19" s="134"/>
      <x:c r="AA19" s="134"/>
      <x:c r="AB19" s="134"/>
      <x:c r="AC19" s="134"/>
      <x:c r="AD19" s="134"/>
      <x:c r="AE19" s="134"/>
      <x:c r="AF19" s="134"/>
      <x:c r="AG19" s="134"/>
      <x:c r="AH19" s="134"/>
      <x:c r="AI19" s="134"/>
      <x:c r="AJ19" s="134"/>
      <x:c r="AK19" s="134"/>
    </x:row>
    <x:row r="20">
      <x:c r="A20" s="134"/>
      <x:c r="B20" s="134"/>
      <x:c r="C20" s="134"/>
      <x:c r="D20" s="134"/>
      <x:c r="E20" s="134"/>
      <x:c r="F20" s="134"/>
      <x:c r="G20" s="134"/>
      <x:c r="H20" s="134"/>
      <x:c r="I20" s="134"/>
      <x:c r="J20" s="134"/>
      <x:c r="K20" s="134"/>
      <x:c r="L20" s="134"/>
      <x:c r="M20" s="134"/>
      <x:c r="N20" s="134"/>
      <x:c r="O20" s="134"/>
      <x:c r="P20" s="134"/>
      <x:c r="Q20" s="134"/>
      <x:c r="R20" s="134"/>
      <x:c r="S20" s="134"/>
      <x:c r="T20" s="134"/>
      <x:c r="U20" s="134"/>
      <x:c r="V20" s="134"/>
      <x:c r="W20" s="134"/>
      <x:c r="X20" s="134"/>
      <x:c r="Y20" s="134"/>
      <x:c r="Z20" s="134"/>
      <x:c r="AA20" s="134"/>
      <x:c r="AB20" s="134"/>
      <x:c r="AC20" s="134"/>
      <x:c r="AD20" s="134"/>
      <x:c r="AE20" s="134"/>
      <x:c r="AF20" s="134"/>
      <x:c r="AG20" s="134"/>
      <x:c r="AH20" s="134"/>
      <x:c r="AI20" s="134"/>
      <x:c r="AJ20" s="134"/>
      <x:c r="AK20" s="134"/>
    </x:row>
    <x:row r="21">
      <x:c r="A21" s="134"/>
      <x:c r="B21" s="134"/>
      <x:c r="C21" s="134"/>
      <x:c r="D21" s="134"/>
      <x:c r="E21" s="134"/>
      <x:c r="F21" s="134"/>
      <x:c r="G21" s="134"/>
      <x:c r="H21" s="134"/>
      <x:c r="I21" s="134"/>
      <x:c r="J21" s="134"/>
      <x:c r="K21" s="134"/>
      <x:c r="L21" s="134"/>
      <x:c r="M21" s="134"/>
      <x:c r="N21" s="134"/>
      <x:c r="O21" s="134"/>
      <x:c r="P21" s="134"/>
      <x:c r="Q21" s="134"/>
      <x:c r="R21" s="134"/>
      <x:c r="S21" s="134"/>
      <x:c r="T21" s="134"/>
      <x:c r="U21" s="134"/>
      <x:c r="V21" s="134"/>
      <x:c r="W21" s="134"/>
      <x:c r="X21" s="134"/>
      <x:c r="Y21" s="134"/>
      <x:c r="Z21" s="134"/>
      <x:c r="AA21" s="134"/>
      <x:c r="AB21" s="134"/>
      <x:c r="AC21" s="134"/>
      <x:c r="AD21" s="134"/>
      <x:c r="AE21" s="134"/>
      <x:c r="AF21" s="134"/>
      <x:c r="AG21" s="134"/>
      <x:c r="AH21" s="134"/>
      <x:c r="AI21" s="134"/>
      <x:c r="AJ21" s="134"/>
      <x:c r="AK21" s="134"/>
    </x:row>
    <x:row r="22">
      <x:c r="A22" s="134"/>
      <x:c r="B22" s="134"/>
      <x:c r="C22" s="134"/>
      <x:c r="D22" s="134"/>
      <x:c r="E22" s="134"/>
      <x:c r="F22" s="134"/>
      <x:c r="G22" s="134"/>
      <x:c r="H22" s="134"/>
      <x:c r="I22" s="134"/>
      <x:c r="J22" s="134"/>
      <x:c r="K22" s="134"/>
      <x:c r="L22" s="134"/>
      <x:c r="M22" s="134"/>
      <x:c r="N22" s="134"/>
      <x:c r="O22" s="134"/>
      <x:c r="P22" s="134"/>
      <x:c r="Q22" s="134"/>
      <x:c r="R22" s="134"/>
      <x:c r="S22" s="134"/>
      <x:c r="T22" s="134"/>
      <x:c r="U22" s="134"/>
      <x:c r="V22" s="134"/>
      <x:c r="W22" s="134"/>
      <x:c r="X22" s="134"/>
      <x:c r="Y22" s="134"/>
      <x:c r="Z22" s="134"/>
      <x:c r="AA22" s="134"/>
      <x:c r="AB22" s="134"/>
      <x:c r="AC22" s="134"/>
      <x:c r="AD22" s="134"/>
      <x:c r="AE22" s="134"/>
      <x:c r="AF22" s="134"/>
      <x:c r="AG22" s="134"/>
      <x:c r="AH22" s="134"/>
      <x:c r="AI22" s="134"/>
      <x:c r="AJ22" s="134"/>
      <x:c r="AK22" s="134"/>
    </x:row>
    <x:row r="23">
      <x:c r="A23" s="134"/>
      <x:c r="B23" s="134"/>
      <x:c r="C23" s="134"/>
      <x:c r="D23" s="134"/>
      <x:c r="E23" s="134"/>
      <x:c r="F23" s="134"/>
      <x:c r="G23" s="134"/>
      <x:c r="H23" s="134"/>
      <x:c r="I23" s="134"/>
      <x:c r="J23" s="134"/>
      <x:c r="K23" s="134"/>
      <x:c r="L23" s="134"/>
      <x:c r="M23" s="134"/>
      <x:c r="N23" s="134"/>
      <x:c r="O23" s="134"/>
      <x:c r="P23" s="134"/>
      <x:c r="Q23" s="134"/>
      <x:c r="R23" s="134"/>
      <x:c r="S23" s="134"/>
      <x:c r="T23" s="134"/>
      <x:c r="U23" s="134"/>
      <x:c r="V23" s="134"/>
      <x:c r="W23" s="134"/>
      <x:c r="X23" s="134"/>
      <x:c r="Y23" s="134"/>
      <x:c r="Z23" s="134"/>
      <x:c r="AA23" s="134"/>
      <x:c r="AB23" s="134"/>
      <x:c r="AC23" s="134"/>
      <x:c r="AD23" s="134"/>
      <x:c r="AE23" s="134"/>
      <x:c r="AF23" s="134"/>
      <x:c r="AG23" s="134"/>
      <x:c r="AH23" s="134"/>
      <x:c r="AI23" s="134"/>
      <x:c r="AJ23" s="134"/>
      <x:c r="AK23" s="134"/>
    </x:row>
    <x:row r="24">
      <x:c r="A24" s="134"/>
      <x:c r="B24" s="134"/>
      <x:c r="C24" s="134"/>
      <x:c r="D24" s="134"/>
      <x:c r="E24" s="134"/>
      <x:c r="F24" s="134"/>
      <x:c r="G24" s="134"/>
      <x:c r="H24" s="134"/>
      <x:c r="I24" s="134"/>
      <x:c r="J24" s="134"/>
      <x:c r="K24" s="134"/>
      <x:c r="L24" s="134"/>
      <x:c r="M24" s="134"/>
      <x:c r="N24" s="134"/>
      <x:c r="O24" s="134"/>
      <x:c r="P24" s="134"/>
      <x:c r="Q24" s="134"/>
      <x:c r="R24" s="134"/>
      <x:c r="S24" s="134"/>
      <x:c r="T24" s="134"/>
      <x:c r="U24" s="134"/>
      <x:c r="V24" s="134"/>
      <x:c r="W24" s="134"/>
      <x:c r="X24" s="134"/>
      <x:c r="Y24" s="134"/>
      <x:c r="Z24" s="134"/>
      <x:c r="AA24" s="134"/>
      <x:c r="AB24" s="134"/>
      <x:c r="AC24" s="134"/>
      <x:c r="AD24" s="134"/>
      <x:c r="AE24" s="134"/>
      <x:c r="AF24" s="134"/>
      <x:c r="AG24" s="134"/>
      <x:c r="AH24" s="134"/>
      <x:c r="AI24" s="134"/>
      <x:c r="AJ24" s="134"/>
      <x:c r="AK24" s="134"/>
    </x:row>
    <x:row r="25">
      <x:c r="A25" s="134"/>
      <x:c r="B25" s="134"/>
      <x:c r="C25" s="134"/>
      <x:c r="D25" s="134"/>
      <x:c r="E25" s="134"/>
      <x:c r="F25" s="134"/>
      <x:c r="G25" s="134"/>
      <x:c r="H25" s="134"/>
      <x:c r="I25" s="134"/>
      <x:c r="J25" s="134"/>
      <x:c r="K25" s="134"/>
      <x:c r="L25" s="134"/>
      <x:c r="M25" s="134"/>
      <x:c r="N25" s="134"/>
      <x:c r="O25" s="134"/>
      <x:c r="P25" s="134"/>
      <x:c r="Q25" s="134"/>
      <x:c r="R25" s="134"/>
      <x:c r="S25" s="134"/>
      <x:c r="T25" s="134"/>
      <x:c r="U25" s="134"/>
      <x:c r="V25" s="134"/>
      <x:c r="W25" s="134"/>
      <x:c r="X25" s="134"/>
      <x:c r="Y25" s="134"/>
      <x:c r="Z25" s="134"/>
      <x:c r="AA25" s="134"/>
      <x:c r="AB25" s="134"/>
      <x:c r="AC25" s="134"/>
      <x:c r="AD25" s="134"/>
      <x:c r="AE25" s="134"/>
      <x:c r="AF25" s="134"/>
      <x:c r="AG25" s="134"/>
      <x:c r="AH25" s="134"/>
      <x:c r="AI25" s="134"/>
      <x:c r="AJ25" s="134"/>
      <x:c r="AK25" s="134"/>
    </x:row>
    <x:row r="26">
      <x:c r="A26" s="228" t="str">
        <x:v>Month</x:v>
      </x:c>
      <x:c r="B26" s="228" t="n">
        <x:v>46235</x:v>
      </x:c>
      <x:c r="C26" s="228" t="n">
        <x:v>46266</x:v>
      </x:c>
      <x:c r="D26" s="228" t="n">
        <x:v>46296</x:v>
      </x:c>
      <x:c r="E26" s="228" t="n">
        <x:v>46327</x:v>
      </x:c>
      <x:c r="F26" s="228" t="n">
        <x:v>46357</x:v>
      </x:c>
      <x:c r="G26" s="228" t="n">
        <x:v>46388</x:v>
      </x:c>
      <x:c r="H26" s="228" t="n">
        <x:v>46419</x:v>
      </x:c>
      <x:c r="I26" s="228" t="n">
        <x:v>46447</x:v>
      </x:c>
      <x:c r="J26" s="228" t="n">
        <x:v>46478</x:v>
      </x:c>
      <x:c r="K26" s="228" t="n">
        <x:v>46508</x:v>
      </x:c>
      <x:c r="L26" s="228" t="n">
        <x:v>46539</x:v>
      </x:c>
      <x:c r="M26" s="228" t="n">
        <x:v>46569</x:v>
      </x:c>
      <x:c r="N26" s="228" t="n">
        <x:v>46600</x:v>
      </x:c>
      <x:c r="O26" s="228" t="n">
        <x:v>46631</x:v>
      </x:c>
      <x:c r="P26" s="228" t="n">
        <x:v>46661</x:v>
      </x:c>
      <x:c r="Q26" s="228" t="n">
        <x:v>46692</x:v>
      </x:c>
      <x:c r="R26" s="228" t="n">
        <x:v>46722</x:v>
      </x:c>
      <x:c r="S26" s="228" t="n">
        <x:v>46753</x:v>
      </x:c>
      <x:c r="T26" s="228" t="n">
        <x:v>46784</x:v>
      </x:c>
      <x:c r="U26" s="228" t="n">
        <x:v>46813</x:v>
      </x:c>
      <x:c r="V26" s="228" t="n">
        <x:v>46844</x:v>
      </x:c>
      <x:c r="W26" s="228" t="n">
        <x:v>46874</x:v>
      </x:c>
      <x:c r="X26" s="228" t="n">
        <x:v>46905</x:v>
      </x:c>
      <x:c r="Y26" s="228" t="n">
        <x:v>46935</x:v>
      </x:c>
      <x:c r="Z26" s="228" t="n">
        <x:v>46966</x:v>
      </x:c>
      <x:c r="AA26" s="228" t="n">
        <x:v>46997</x:v>
      </x:c>
      <x:c r="AB26" s="228" t="n">
        <x:v>47027</x:v>
      </x:c>
      <x:c r="AC26" s="228" t="n">
        <x:v>47058</x:v>
      </x:c>
      <x:c r="AD26" s="228" t="n">
        <x:v>47088</x:v>
      </x:c>
      <x:c r="AE26" s="228" t="n">
        <x:v>47119</x:v>
      </x:c>
      <x:c r="AF26" s="228" t="n">
        <x:v>47150</x:v>
      </x:c>
      <x:c r="AG26" s="228" t="n">
        <x:v>47178</x:v>
      </x:c>
      <x:c r="AH26" s="228" t="n">
        <x:v>47209</x:v>
      </x:c>
      <x:c r="AI26" s="228" t="n">
        <x:v>47239</x:v>
      </x:c>
      <x:c r="AJ26" s="228" t="n">
        <x:v>47270</x:v>
      </x:c>
      <x:c r="AK26" s="228" t="n">
        <x:v>47300</x:v>
      </x:c>
    </x:row>
    <x:row r="27">
      <x:c r="A27" s="134" t="str">
        <x:v>Paid individuals</x:v>
      </x:c>
      <x:c r="B27" s="153" t="n">
        <x:f>('Assumptions'!$D$7*'Assumptions'!$D$9*'Assumptions'!$D$10)</x:f>
        <x:v>9.6</x:v>
      </x:c>
      <x:c r="C27" s="153" t="n">
        <x:f>B27*(1-'Assumptions'!$D$11)+'Assumptions'!$D$7*(1+'Assumptions'!$D$8)^(2-1)*'Assumptions'!$D$9*'Assumptions'!$D$10</x:f>
        <x:v>19.776</x:v>
      </x:c>
      <x:c r="D27" s="153" t="n">
        <x:f>C27*(1-'Assumptions'!$D$11)+'Assumptions'!$D$7*(1+'Assumptions'!$D$8)^(3-1)*'Assumptions'!$D$9*'Assumptions'!$D$10</x:f>
        <x:v>30.63168</x:v>
      </x:c>
      <x:c r="E27" s="153" t="n">
        <x:f>D27*(1-'Assumptions'!$D$11)+'Assumptions'!$D$7*(1+'Assumptions'!$D$8)^(4-1)*'Assumptions'!$D$9*'Assumptions'!$D$10</x:f>
        <x:v>42.281088000000004</x:v>
      </x:c>
      <x:c r="F27" s="153" t="n">
        <x:f>E27*(1-'Assumptions'!$D$11)+'Assumptions'!$D$7*(1+'Assumptions'!$D$8)^(5-1)*'Assumptions'!$D$9*'Assumptions'!$D$10</x:f>
        <x:v>54.85000857600001</x:v>
      </x:c>
      <x:c r="G27" s="153" t="n">
        <x:f>F27*(1-'Assumptions'!$D$11)+'Assumptions'!$D$7*(1+'Assumptions'!$D$8)^(6-1)*'Assumptions'!$D$9*'Assumptions'!$D$10</x:f>
        <x:v>68.47748822016001</x:v>
      </x:c>
      <x:c r="H27" s="153" t="n">
        <x:f>G27*(1-'Assumptions'!$D$11)+'Assumptions'!$D$7*(1+'Assumptions'!$D$8)^(7-1)*'Assumptions'!$D$9*'Assumptions'!$D$10</x:f>
        <x:v>83.31753670471682</x:v>
      </x:c>
      <x:c r="I27" s="153" t="n">
        <x:f>H27*(1-'Assumptions'!$D$11)+'Assumptions'!$D$7*(1+'Assumptions'!$D$8)^(8-1)*'Assumptions'!$D$9*'Assumptions'!$D$10</x:f>
        <x:v>99.54102601353219</x:v>
      </x:c>
      <x:c r="J27" s="153" t="n">
        <x:f>I27*(1-'Assumptions'!$D$11)+'Assumptions'!$D$7*(1+'Assumptions'!$D$8)^(9-1)*'Assumptions'!$D$9*'Assumptions'!$D$10</x:f>
        <x:v>117.33781094515044</x:v>
      </x:c>
      <x:c r="K27" s="153" t="n">
        <x:f>J27*(1-'Assumptions'!$D$11)+'Assumptions'!$D$7*(1+'Assumptions'!$D$8)^(10-1)*'Assumptions'!$D$9*'Assumptions'!$D$10</x:f>
        <x:v>136.91909835996321</x:v>
      </x:c>
      <x:c r="L27" s="153" t="n">
        <x:f>K27*(1-'Assumptions'!$D$11)+'Assumptions'!$D$7*(1+'Assumptions'!$D$8)^(11-1)*'Assumptions'!$D$9*'Assumptions'!$D$10</x:f>
        <x:v>158.52009525846987</x:v>
      </x:c>
      <x:c r="M27" s="153" t="n">
        <x:f>L27*(1-'Assumptions'!$D$11)+'Assumptions'!$D$7*(1+'Assumptions'!$D$8)^(12-1)*'Assumptions'!$D$9*'Assumptions'!$D$10</x:f>
        <x:v>182.40296947907865</x:v>
      </x:c>
      <x:c r="N27" s="153" t="n">
        <x:f>M27*(1-'Assumptions'!$D$11)+'Assumptions'!$D$7*(1+'Assumptions'!$D$8)^(13-1)*'Assumptions'!$D$9*'Assumptions'!$D$10</x:f>
        <x:v>208.86016083878494</x:v>
      </x:c>
      <x:c r="O27" s="153" t="n">
        <x:f>N27*(1-'Assumptions'!$D$11)+'Assumptions'!$D$7*(1+'Assumptions'!$D$8)^(14-1)*'Assumptions'!$D$9*'Assumptions'!$D$10</x:f>
        <x:v>238.21808506032295</x:v>
      </x:c>
      <x:c r="P27" s="153" t="n">
        <x:f>O27*(1-'Assumptions'!$D$11)+'Assumptions'!$D$7*(1+'Assumptions'!$D$8)^(15-1)*'Assumptions'!$D$9*'Assumptions'!$D$10</x:f>
        <x:v>270.8412778931925</x:v>
      </x:c>
      <x:c r="Q27" s="153" t="n">
        <x:f>P27*(1-'Assumptions'!$D$11)+'Assumptions'!$D$7*(1+'Assumptions'!$D$8)^(16-1)*'Assumptions'!$D$9*'Assumptions'!$D$10</x:f>
        <x:v>307.13703250846856</x:v>
      </x:c>
      <x:c r="R27" s="153" t="n">
        <x:f>Q27*(1-'Assumptions'!$D$11)+'Assumptions'!$D$7*(1+'Assumptions'!$D$8)^(17-1)*'Assumptions'!$D$9*'Assumptions'!$D$10</x:f>
        <x:v>347.5605896014922</x:v>
      </x:c>
      <x:c r="S27" s="153" t="n">
        <x:f>R27*(1-'Assumptions'!$D$11)+'Assumptions'!$D$7*(1+'Assumptions'!$D$8)^(18-1)*'Assumptions'!$D$9*'Assumptions'!$D$10</x:f>
        <x:v>392.62094675415824</x:v>
      </x:c>
      <x:c r="T27" s="153" t="n">
        <x:f>S27*(1-'Assumptions'!$D$11)+'Assumptions'!$D$7*(1+'Assumptions'!$D$8)^(19-1)*'Assumptions'!$D$9*'Assumptions'!$D$10</x:f>
        <x:v>442.887361581115</x:v>
      </x:c>
      <x:c r="U27" s="153" t="n">
        <x:f>T27*(1-'Assumptions'!$D$11)+'Assumptions'!$D$7*(1+'Assumptions'!$D$8)^(20-1)*'Assumptions'!$D$9*'Assumptions'!$D$10</x:f>
        <x:v>498.9966321143191</x:v>
      </x:c>
      <x:c r="V27" s="153" t="n">
        <x:f>U27*(1-'Assumptions'!$D$11)+'Assumptions'!$D$7*(1+'Assumptions'!$D$8)^(21-1)*'Assumptions'!$D$9*'Assumptions'!$D$10</x:f>
        <x:v>561.6612478828995</x:v>
      </x:c>
      <x:c r="W27" s="153" t="n">
        <x:f>V27*(1-'Assumptions'!$D$11)+'Assumptions'!$D$7*(1+'Assumptions'!$D$8)^(22-1)*'Assumptions'!$D$9*'Assumptions'!$D$10</x:f>
        <x:v>631.6785163488178</x:v>
      </x:c>
      <x:c r="X27" s="153" t="n">
        <x:f>W27*(1-'Assumptions'!$D$11)+'Assumptions'!$D$7*(1+'Assumptions'!$D$8)^(23-1)*'Assumptions'!$D$9*'Assumptions'!$D$10</x:f>
        <x:v>709.940781907448</x:v>
      </x:c>
      <x:c r="Y27" s="153" t="n">
        <x:f>X27*(1-'Assumptions'!$D$11)+'Assumptions'!$D$7*(1+'Assumptions'!$D$8)^(24-1)*'Assumptions'!$D$9*'Assumptions'!$D$10</x:f>
        <x:v>797.4468687173076</x:v>
      </x:c>
      <x:c r="Z27" s="153" t="n">
        <x:f>Y27*(1-'Assumptions'!$D$11)+'Assumptions'!$D$7*(1+'Assumptions'!$D$8)^(25-1)*'Assumptions'!$D$9*'Assumptions'!$D$10</x:f>
        <x:v>895.3148943654924</x:v>
      </x:c>
      <x:c r="AA27" s="153" t="n">
        <x:f>Z27*(1-'Assumptions'!$D$11)+'Assumptions'!$D$7*(1+'Assumptions'!$D$8)^(26-1)*'Assumptions'!$D$9*'Assumptions'!$D$10</x:f>
        <x:v>1004.796619007333</x:v>
      </x:c>
      <x:c r="AB27" s="153" t="n">
        <x:f>AA27*(1-'Assumptions'!$D$11)+'Assumptions'!$D$7*(1+'Assumptions'!$D$8)^(27-1)*'Assumptions'!$D$9*'Assumptions'!$D$10</x:f>
        <x:v>1127.2935143671154</x:v>
      </x:c>
      <x:c r="AC27" s="153" t="n">
        <x:f>AB27*(1-'Assumptions'!$D$11)+'Assumptions'!$D$7*(1+'Assumptions'!$D$8)^(28-1)*'Assumptions'!$D$9*'Assumptions'!$D$10</x:f>
        <x:v>1264.3747591053377</x:v>
      </x:c>
      <x:c r="AD27" s="153" t="n">
        <x:f>AC27*(1-'Assumptions'!$D$11)+'Assumptions'!$D$7*(1+'Assumptions'!$D$8)^(29-1)*'Assumptions'!$D$9*'Assumptions'!$D$10</x:f>
        <x:v>1417.7973918312966</x:v>
      </x:c>
      <x:c r="AE27" s="153" t="n">
        <x:f>AD27*(1-'Assumptions'!$D$11)+'Assumptions'!$D$7*(1+'Assumptions'!$D$8)^(30-1)*'Assumptions'!$D$9*'Assumptions'!$D$10</x:f>
        <x:v>1589.5288807863717</x:v>
      </x:c>
      <x:c r="AF27" s="153" t="n">
        <x:f>AE27*(1-'Assumptions'!$D$11)+'Assumptions'!$D$7*(1+'Assumptions'!$D$8)^(31-1)*'Assumptions'!$D$9*'Assumptions'!$D$10</x:f>
        <x:v>1781.7724002999364</x:v>
      </x:c>
      <x:c r="AG27" s="153" t="n">
        <x:f>AF27*(1-'Assumptions'!$D$11)+'Assumptions'!$D$7*(1+'Assumptions'!$D$8)^(32-1)*'Assumptions'!$D$9*'Assumptions'!$D$10</x:f>
        <x:v>1996.9951389259768</x:v>
      </x:c>
      <x:c r="AH27" s="153" t="n">
        <x:f>AG27*(1-'Assumptions'!$D$11)+'Assumptions'!$D$7*(1+'Assumptions'!$D$8)^(33-1)*'Assumptions'!$D$9*'Assumptions'!$D$10</x:f>
        <x:v>2237.9600031517393</x:v>
      </x:c>
      <x:c r="AI27" s="153" t="n">
        <x:f>AH27*(1-'Assumptions'!$D$11)+'Assumptions'!$D$7*(1+'Assumptions'!$D$8)^(34-1)*'Assumptions'!$D$9*'Assumptions'!$D$10</x:f>
        <x:v>2507.761124231315</x:v>
      </x:c>
      <x:c r="AJ27" s="153" t="n">
        <x:f>AI27*(1-'Assumptions'!$D$11)+'Assumptions'!$D$7*(1+'Assumptions'!$D$8)^(35-1)*'Assumptions'!$D$9*'Assumptions'!$D$10</x:f>
        <x:v>2809.8636245983575</x:v>
      </x:c>
      <x:c r="AK27" s="153" t="n">
        <x:f>AJ27*(1-'Assumptions'!$D$11)+'Assumptions'!$D$7*(1+'Assumptions'!$D$8)^(36-1)*'Assumptions'!$D$9*'Assumptions'!$D$10</x:f>
        <x:v>3148.148155081888</x:v>
      </x:c>
    </x:row>
    <x:row r="28">
      <x:c r="A28" s="134" t="str">
        <x:v>B2B programs</x:v>
      </x:c>
      <x:c r="B28" s="153" t="n">
        <x:f>('Assumptions'!$D$12*'Assumptions'!$D$14)</x:f>
        <x:v>1.2</x:v>
      </x:c>
      <x:c r="C28" s="153" t="n">
        <x:f>B28*(1-'Assumptions'!$D$15)+'Assumptions'!$D$12*(1+'Assumptions'!$D$13)^(2-1)*'Assumptions'!$D$14</x:f>
        <x:v>2.46</x:v>
      </x:c>
      <x:c r="D28" s="153" t="n">
        <x:f>C28*(1-'Assumptions'!$D$15)+'Assumptions'!$D$12*(1+'Assumptions'!$D$13)^(3-1)*'Assumptions'!$D$14</x:f>
        <x:v>3.7858800000000006</x:v>
      </x:c>
      <x:c r="E28" s="153" t="n">
        <x:f>D28*(1-'Assumptions'!$D$15)+'Assumptions'!$D$12*(1+'Assumptions'!$D$13)^(4-1)*'Assumptions'!$D$14</x:f>
        <x:v>5.1839580000000005</x:v>
      </x:c>
      <x:c r="F28" s="153" t="n">
        <x:f>E28*(1-'Assumptions'!$D$15)+'Assumptions'!$D$12*(1+'Assumptions'!$D$13)^(5-1)*'Assumptions'!$D$14</x:f>
        <x:v>6.661026012000001</x:v>
      </x:c>
      <x:c r="G28" s="153" t="n">
        <x:f>F28*(1-'Assumptions'!$D$15)+'Assumptions'!$D$12*(1+'Assumptions'!$D$13)^(6-1)*'Assumptions'!$D$14</x:f>
        <x:v>8.224388923800001</x:v>
      </x:c>
      <x:c r="H28" s="153" t="n">
        <x:f>G28*(1-'Assumptions'!$D$15)+'Assumptions'!$D$12*(1+'Assumptions'!$D$13)^(7-1)*'Assumptions'!$D$14</x:f>
        <x:v>9.881906443618801</x:v>
      </x:c>
      <x:c r="I28" s="153" t="n">
        <x:f>H28*(1-'Assumptions'!$D$15)+'Assumptions'!$D$12*(1+'Assumptions'!$D$13)^(8-1)*'Assumptions'!$D$14</x:f>
        <x:v>11.642038372845661</x:v>
      </x:c>
      <x:c r="J28" s="153" t="n">
        <x:f>I28*(1-'Assumptions'!$D$15)+'Assumptions'!$D$12*(1+'Assumptions'!$D$13)^(9-1)*'Assumptions'!$D$14</x:f>
        <x:v>13.51389347399855</x:v>
      </x:c>
      <x:c r="K28" s="153" t="n">
        <x:f>J28*(1-'Assumptions'!$D$15)+'Assumptions'!$D$12*(1+'Assumptions'!$D$13)^(10-1)*'Assumptions'!$D$14</x:f>
        <x:v>15.507282222303914</x:v>
      </x:c>
      <x:c r="L28" s="153" t="n">
        <x:f>K28*(1-'Assumptions'!$D$15)+'Assumptions'!$D$12*(1+'Assumptions'!$D$13)^(11-1)*'Assumptions'!$D$14</x:f>
        <x:v>17.63277375236214</x:v>
      </x:c>
      <x:c r="M28" s="153" t="n">
        <x:f>L28*(1-'Assumptions'!$D$15)+'Assumptions'!$D$12*(1+'Assumptions'!$D$13)^(12-1)*'Assumptions'!$D$14</x:f>
        <x:v>19.90175733625681</x:v>
      </x:c>
      <x:c r="N28" s="153" t="n">
        <x:f>M28*(1-'Assumptions'!$D$15)+'Assumptions'!$D$12*(1+'Assumptions'!$D$13)^(13-1)*'Assumptions'!$D$14</x:f>
        <x:v>22.32650875635188</x:v>
      </x:c>
      <x:c r="O28" s="153" t="n">
        <x:f>N28*(1-'Assumptions'!$D$15)+'Assumptions'!$D$12*(1+'Assumptions'!$D$13)^(14-1)*'Assumptions'!$D$14</x:f>
        <x:v>24.920261965058724</x:v>
      </x:c>
      <x:c r="P28" s="153" t="n">
        <x:f>O28*(1-'Assumptions'!$D$15)+'Assumptions'!$D$12*(1+'Assumptions'!$D$13)^(15-1)*'Assumptions'!$D$14</x:f>
        <x:v>27.69728645521615</x:v>
      </x:c>
      <x:c r="Q28" s="153" t="n">
        <x:f>P28*(1-'Assumptions'!$D$15)+'Assumptions'!$D$12*(1+'Assumptions'!$D$13)^(16-1)*'Assumptions'!$D$14</x:f>
        <x:v>30.672970798597593</x:v>
      </x:c>
      <x:c r="R28" s="153" t="n">
        <x:f>Q28*(1-'Assumptions'!$D$15)+'Assumptions'!$D$12*(1+'Assumptions'!$D$13)^(17-1)*'Assumptions'!$D$14</x:f>
        <x:v>33.86391284664062</x:v>
      </x:c>
      <x:c r="S28" s="153" t="n">
        <x:f>R28*(1-'Assumptions'!$D$15)+'Assumptions'!$D$12*(1+'Assumptions'!$D$13)^(18-1)*'Assumptions'!$D$14</x:f>
        <x:v>37.28801712700244</x:v>
      </x:c>
      <x:c r="T28" s="153" t="n">
        <x:f>S28*(1-'Assumptions'!$D$15)+'Assumptions'!$D$12*(1+'Assumptions'!$D$13)^(19-1)*'Assumptions'!$D$14</x:f>
        <x:v>40.96460001221429</x:v>
      </x:c>
      <x:c r="U28" s="153" t="n">
        <x:f>T28*(1-'Assumptions'!$D$15)+'Assumptions'!$D$12*(1+'Assumptions'!$D$13)^(20-1)*'Assumptions'!$D$14</x:f>
        <x:v>44.91450328279154</x:v>
      </x:c>
      <x:c r="V28" s="153" t="n">
        <x:f>U28*(1-'Assumptions'!$D$15)+'Assumptions'!$D$12*(1+'Assumptions'!$D$13)^(21-1)*'Assumptions'!$D$14</x:f>
        <x:v>49.160216756926964</x:v>
      </x:c>
      <x:c r="W28" s="153" t="n">
        <x:f>V28*(1-'Assumptions'!$D$15)+'Assumptions'!$D$12*(1+'Assumptions'!$D$13)^(22-1)*'Assumptions'!$D$14</x:f>
        <x:v>53.72601071264786</x:v>
      </x:c>
      <x:c r="X28" s="153" t="n">
        <x:f>W28*(1-'Assumptions'!$D$15)+'Assumptions'!$D$12*(1+'Assumptions'!$D$13)^(23-1)*'Assumptions'!$D$14</x:f>
        <x:v>58.63807888637143</x:v>
      </x:c>
      <x:c r="Y28" s="153" t="n">
        <x:f>X28*(1-'Assumptions'!$D$15)+'Assumptions'!$D$12*(1+'Assumptions'!$D$13)^(24-1)*'Assumptions'!$D$14</x:f>
        <x:v>63.92469289449153</x:v>
      </x:c>
      <x:c r="Z28" s="153" t="n">
        <x:f>Y28*(1-'Assumptions'!$D$15)+'Assumptions'!$D$12*(1+'Assumptions'!$D$13)^(25-1)*'Assumptions'!$D$14</x:f>
        <x:v>69.61636899234492</x:v>
      </x:c>
      <x:c r="AA28" s="153" t="n">
        <x:f>Z28*(1-'Assumptions'!$D$15)+'Assumptions'!$D$12*(1+'Assumptions'!$D$13)^(26-1)*'Assumptions'!$D$14</x:f>
        <x:v>75.74604815803775</x:v>
      </x:c>
      <x:c r="AB28" s="153" t="n">
        <x:f>AA28*(1-'Assumptions'!$D$15)+'Assumptions'!$D$12*(1+'Assumptions'!$D$13)^(27-1)*'Assumptions'!$D$14</x:f>
        <x:v>82.34929056759687</x:v>
      </x:c>
      <x:c r="AC28" s="153" t="n">
        <x:f>AB28*(1-'Assumptions'!$D$15)+'Assumptions'!$D$12*(1+'Assumptions'!$D$13)^(28-1)*'Assumptions'!$D$14</x:f>
        <x:v>89.46448561321324</x:v>
      </x:c>
      <x:c r="AD28" s="153" t="n">
        <x:f>AC28*(1-'Assumptions'!$D$15)+'Assumptions'!$D$12*(1+'Assumptions'!$D$13)^(29-1)*'Assumptions'!$D$14</x:f>
        <x:v>97.13307870847265</x:v>
      </x:c>
      <x:c r="AE28" s="153" t="n">
        <x:f>AD28*(1-'Assumptions'!$D$15)+'Assumptions'!$D$12*(1+'Assumptions'!$D$13)^(30-1)*'Assumptions'!$D$14</x:f>
        <x:v>105.39981622396674</x:v>
      </x:c>
      <x:c r="AF28" s="153" t="n">
        <x:f>AE28*(1-'Assumptions'!$D$15)+'Assumptions'!$D$12*(1+'Assumptions'!$D$13)^(31-1)*'Assumptions'!$D$14</x:f>
        <x:v>114.31301000413586</x:v>
      </x:c>
      <x:c r="AG28" s="153" t="n">
        <x:f>AF28*(1-'Assumptions'!$D$15)+'Assumptions'!$D$12*(1+'Assumptions'!$D$13)^(32-1)*'Assumptions'!$D$14</x:f>
        <x:v>123.92482303225097</x:v>
      </x:c>
      <x:c r="AH28" s="153" t="n">
        <x:f>AG28*(1-'Assumptions'!$D$15)+'Assumptions'!$D$12*(1+'Assumptions'!$D$13)^(33-1)*'Assumptions'!$D$14</x:f>
        <x:v>134.29157793578176</x:v>
      </x:c>
      <x:c r="AI28" s="153" t="n">
        <x:f>AH28*(1-'Assumptions'!$D$15)+'Assumptions'!$D$12*(1+'Assumptions'!$D$13)^(34-1)*'Assumptions'!$D$14</x:f>
        <x:v>145.4740901597665</x:v>
      </x:c>
      <x:c r="AJ28" s="153" t="n">
        <x:f>AI28*(1-'Assumptions'!$D$15)+'Assumptions'!$D$12*(1+'Assumptions'!$D$13)^(35-1)*'Assumptions'!$D$14</x:f>
        <x:v>157.53802778199633</x:v>
      </x:c>
      <x:c r="AK28" s="153" t="n">
        <x:f>AJ28*(1-'Assumptions'!$D$15)+'Assumptions'!$D$12*(1+'Assumptions'!$D$13)^(36-1)*'Assumptions'!$D$14</x:f>
        <x:v>170.5543001017211</x:v>
      </x:c>
    </x:row>
    <x:row r="29">
      <x:c r="A29" s="134" t="str">
        <x:v>Revenue</x:v>
      </x:c>
      <x:c r="B29" s="135" t="n">
        <x:f>B27*'Assumptions'!$D$17+B28*'Assumptions'!$D$18</x:f>
        <x:v>529.2</x:v>
      </x:c>
      <x:c r="C29" s="135" t="n">
        <x:f>C27*'Assumptions'!$D$17+C28*'Assumptions'!$D$18</x:f>
        <x:v>1087.164</x:v>
      </x:c>
      <x:c r="D29" s="135" t="n">
        <x:f>D27*'Assumptions'!$D$17+D28*'Assumptions'!$D$18</x:f>
        <x:v>1677.84444</x:v>
      </x:c>
      <x:c r="E29" s="135" t="n">
        <x:f>E27*'Assumptions'!$D$17+E28*'Assumptions'!$D$18</x:f>
        <x:v>2305.551654</x:v>
      </x:c>
      <x:c r="F29" s="135" t="n">
        <x:f>F27*'Assumptions'!$D$17+F28*'Assumptions'!$D$18</x:f>
        <x:v>2974.9956828120003</x:v>
      </x:c>
      <x:c r="G29" s="135" t="n">
        <x:f>G27*'Assumptions'!$D$17+G28*'Assumptions'!$D$18</x:f>
        <x:v>3691.332559310041</x:v>
      </x:c>
      <x:c r="H29" s="135" t="n">
        <x:f>H27*'Assumptions'!$D$17+H28*'Assumptions'!$D$18</x:f>
        <x:v>4460.215585374285</x:v>
      </x:c>
      <x:c r="I29" s="135" t="n">
        <x:f>I27*'Assumptions'!$D$17+I28*'Assumptions'!$D$18</x:f>
        <x:v>5287.852179163342</x:v>
      </x:c>
      <x:c r="J29" s="135" t="n">
        <x:f>J27*'Assumptions'!$D$17+J28*'Assumptions'!$D$18</x:f>
        <x:v>6181.066937709249</x:v>
      </x:c>
      <x:c r="K29" s="135" t="n">
        <x:f>K27*'Assumptions'!$D$17+K28*'Assumptions'!$D$18</x:f>
        <x:v>7147.371633992792</x:v>
      </x:c>
      <x:c r="L29" s="135" t="n">
        <x:f>L27*'Assumptions'!$D$17+L28*'Assumptions'!$D$18</x:f>
        <x:v>8195.04295054145</x:v>
      </x:c>
      <x:c r="M29" s="135" t="n">
        <x:f>M27*'Assumptions'!$D$17+M28*'Assumptions'!$D$18</x:f>
        <x:v>9333.208844225834</x:v>
      </x:c>
      <x:c r="N29" s="135" t="n">
        <x:f>N27*'Assumptions'!$D$17+N28*'Assumptions'!$D$18</x:f>
        <x:v>10571.944540462457</x:v>
      </x:c>
      <x:c r="O29" s="135" t="n">
        <x:f>O27*'Assumptions'!$D$17+O28*'Assumptions'!$D$18</x:f>
        <x:v>11922.379270747373</x:v>
      </x:c>
      <x:c r="P29" s="135" t="n">
        <x:f>P27*'Assumptions'!$D$17+P28*'Assumptions'!$D$18</x:f>
        <x:v>13396.814996785442</x:v>
      </x:c>
      <x:c r="Q29" s="135" t="n">
        <x:f>Q27*'Assumptions'!$D$17+Q28*'Assumptions'!$D$18</x:f>
        <x:v>15008.858509054047</x:v>
      </x:c>
      <x:c r="R29" s="135" t="n">
        <x:f>R27*'Assumptions'!$D$17+R28*'Assumptions'!$D$18</x:f>
        <x:v>16773.568449249327</x:v>
      </x:c>
      <x:c r="S29" s="135" t="n">
        <x:f>S27*'Assumptions'!$D$17+S28*'Assumptions'!$D$18</x:f>
        <x:v>18707.618986723406</x:v>
      </x:c>
      <x:c r="T29" s="135" t="n">
        <x:f>T27*'Assumptions'!$D$17+T28*'Assumptions'!$D$18</x:f>
        <x:v>20829.48208098812</x:v>
      </x:c>
      <x:c r="U29" s="135" t="n">
        <x:f>U27*'Assumptions'!$D$17+U28*'Assumptions'!$D$18</x:f>
        <x:v>23159.630488158753</x:v>
      </x:c>
      <x:c r="V29" s="135" t="n">
        <x:f>V27*'Assumptions'!$D$17+V28*'Assumptions'!$D$18</x:f>
        <x:v>25720.763921664402</x:v>
      </x:c>
      <x:c r="W29" s="135" t="n">
        <x:f>W27*'Assumptions'!$D$17+W28*'Assumptions'!$D$18</x:f>
        <x:v>28538.061059820946</x:v>
      </x:c>
      <x:c r="X29" s="135" t="n">
        <x:f>X27*'Assumptions'!$D$17+X28*'Assumptions'!$D$18</x:f>
        <x:v>31639.46040848524</x:v>
      </x:c>
      <x:c r="Y29" s="135" t="n">
        <x:f>Y27*'Assumptions'!$D$17+Y28*'Assumptions'!$D$18</x:f>
        <x:v>35055.973379943774</x:v>
      </x:c>
      <x:c r="Z29" s="135" t="n">
        <x:f>Z27*'Assumptions'!$D$17+Z28*'Assumptions'!$D$18</x:f>
        <x:v>38822.033343865696</x:v>
      </x:c>
      <x:c r="AA29" s="135" t="n">
        <x:f>AA27*'Assumptions'!$D$17+AA28*'Assumptions'!$D$18</x:f>
        <x:v>42975.88484752739</x:v>
      </x:c>
      <x:c r="AB29" s="135" t="n">
        <x:f>AB27*'Assumptions'!$D$17+AB28*'Assumptions'!$D$18</x:f>
        <x:v>47560.017696142386</x:v>
      </x:c>
      <x:c r="AC29" s="135" t="n">
        <x:f>AC27*'Assumptions'!$D$17+AC28*'Assumptions'!$D$18</x:f>
        <x:v>52621.6511362182</x:v>
      </x:c>
      <x:c r="AD29" s="135" t="n">
        <x:f>AD27*'Assumptions'!$D$17+AD28*'Assumptions'!$D$18</x:f>
        <x:v>58213.27400236081</x:v>
      </x:c>
      <x:c r="AE29" s="135" t="n">
        <x:f>AE27*'Assumptions'!$D$17+AE28*'Assumptions'!$D$18</x:f>
        <x:v>64393.24737864063</x:v>
      </x:c>
      <x:c r="AF29" s="135" t="n">
        <x:f>AF27*'Assumptions'!$D$17+AF28*'Assumptions'!$D$18</x:f>
        <x:v>71226.4770982283</x:v>
      </x:c>
      <x:c r="AG29" s="135" t="n">
        <x:f>AG27*'Assumptions'!$D$17+AG28*'Assumptions'!$D$18</x:f>
        <x:v>78785.16426925393</x:v>
      </x:c>
      <x:c r="AH29" s="135" t="n">
        <x:f>AH27*'Assumptions'!$D$17+AH28*'Assumptions'!$D$18</x:f>
        <x:v>87149.6429816514</x:v>
      </x:c>
      <x:c r="AI29" s="135" t="n">
        <x:f>AI27*'Assumptions'!$D$17+AI28*'Assumptions'!$D$18</x:f>
        <x:v>96409.31543133341</x:v>
      </x:c>
      <x:c r="AJ29" s="135" t="n">
        <x:f>AJ27*'Assumptions'!$D$17+AJ28*'Assumptions'!$D$18</x:f>
        <x:v>106663.69590807767</x:v>
      </x:c>
      <x:c r="AK29" s="135" t="n">
        <x:f>AK27*'Assumptions'!$D$17+AK28*'Assumptions'!$D$18</x:f>
        <x:v>118023.57644729386</x:v>
      </x:c>
    </x:row>
    <x:row r="30">
      <x:c r="A30" s="134" t="str">
        <x:v>Cost of revenue</x:v>
      </x:c>
      <x:c r="B30" s="135" t="n">
        <x:f>(B27*'Assumptions'!$D$19+B28*'Assumptions'!$D$20)*'Assumptions'!$D$21+B29*'Assumptions'!$D$23+(B27+B28)*'Assumptions'!$D$22</x:f>
        <x:v>57.946799999999996</x:v>
      </x:c>
      <x:c r="C30" s="135" t="n">
        <x:f>(C27*'Assumptions'!$D$19+C28*'Assumptions'!$D$20)*'Assumptions'!$D$21+C29*'Assumptions'!$D$23+(C27+C28)*'Assumptions'!$D$22</x:f>
        <x:v>119.023356</x:v>
      </x:c>
      <x:c r="D30" s="135" t="n">
        <x:f>(D27*'Assumptions'!$D$19+D28*'Assumptions'!$D$20)*'Assumptions'!$D$21+D29*'Assumptions'!$D$23+(D27+D28)*'Assumptions'!$D$22</x:f>
        <x:v>183.65073276</x:v>
      </x:c>
      <x:c r="E30" s="135" t="n">
        <x:f>(E27*'Assumptions'!$D$19+E28*'Assumptions'!$D$20)*'Assumptions'!$D$21+E29*'Assumptions'!$D$23+(E27+E28)*'Assumptions'!$D$22</x:f>
        <x:v>252.287763366</x:v>
      </x:c>
      <x:c r="F30" s="135" t="n">
        <x:f>(F27*'Assumptions'!$D$19+F28*'Assumptions'!$D$20)*'Assumptions'!$D$21+F29*'Assumptions'!$D$23+(F27+F28)*'Assumptions'!$D$22</x:f>
        <x:v>325.4354040555481</x:v>
      </x:c>
      <x:c r="G30" s="135" t="n">
        <x:f>(G27*'Assumptions'!$D$19+G28*'Assumptions'!$D$20)*'Assumptions'!$D$21+G29*'Assumptions'!$D$23+(G27+G28)*'Assumptions'!$D$22</x:f>
        <x:v>403.6415510462273</x:v>
      </x:c>
      <x:c r="H30" s="135" t="n">
        <x:f>(H27*'Assumptions'!$D$19+H28*'Assumptions'!$D$20)*'Assumptions'!$D$21+H29*'Assumptions'!$D$23+(H27+H28)*'Assumptions'!$D$22</x:f>
        <x:v>487.50637261801876</x:v>
      </x:c>
      <x:c r="I30" s="135" t="n">
        <x:f>(I27*'Assumptions'!$D$19+I28*'Assumptions'!$D$20)*'Assumptions'!$D$21+I29*'Assumptions'!$D$23+(I27+I28)*'Assumptions'!$D$22</x:f>
        <x:v>577.6882157598308</x:v>
      </x:c>
      <x:c r="J30" s="135" t="n">
        <x:f>(J27*'Assumptions'!$D$19+J28*'Assumptions'!$D$20)*'Assumptions'!$D$21+J29*'Assumptions'!$D$23+(J27+J28)*'Assumptions'!$D$22</x:f>
        <x:v>674.9101534597213</x:v>
      </x:c>
      <x:c r="K30" s="135" t="n">
        <x:f>(K27*'Assumptions'!$D$19+K28*'Assumptions'!$D$20)*'Assumptions'!$D$21+K29*'Assumptions'!$D$23+(K27+K28)*'Assumptions'!$D$22</x:f>
        <x:v>779.9672462807225</x:v>
      </x:c>
      <x:c r="L30" s="135" t="n">
        <x:f>(L27*'Assumptions'!$D$19+L28*'Assumptions'!$D$20)*'Assumptions'!$D$21+L29*'Assumptions'!$D$23+(L27+L28)*'Assumptions'!$D$22</x:f>
        <x:v>893.734600312821</x:v>
      </x:c>
      <x:c r="M30" s="135" t="n">
        <x:f>(M27*'Assumptions'!$D$19+M28*'Assumptions'!$D$20)*'Assumptions'!$D$21+M29*'Assumptions'!$D$23+(M27+M28)*'Assumptions'!$D$22</x:f>
        <x:v>1017.1763130307326</x:v>
      </x:c>
      <x:c r="N30" s="135" t="n">
        <x:f>(N27*'Assumptions'!$D$19+N28*'Assumptions'!$D$20)*'Assumptions'!$D$21+N29*'Assumptions'!$D$23+(N27+N28)*'Assumptions'!$D$22</x:f>
        <x:v>1151.355409133151</x:v>
      </x:c>
      <x:c r="O30" s="135" t="n">
        <x:f>(O27*'Assumptions'!$D$19+O28*'Assumptions'!$D$20)*'Assumptions'!$D$21+O29*'Assumptions'!$D$23+(O27+O28)*'Assumptions'!$D$22</x:f>
        <x:v>1297.4448802225052</x:v>
      </x:c>
      <x:c r="P30" s="135" t="n">
        <x:f>(P27*'Assumptions'!$D$19+P28*'Assumptions'!$D$20)*'Assumptions'!$D$21+P29*'Assumptions'!$D$23+(P27+P28)*'Assumptions'!$D$22</x:f>
        <x:v>1456.7399553507253</x:v>
      </x:c>
      <x:c r="Q30" s="135" t="n">
        <x:f>(Q27*'Assumptions'!$D$19+Q28*'Assumptions'!$D$20)*'Assumptions'!$D$21+Q29*'Assumptions'!$D$23+(Q27+Q28)*'Assumptions'!$D$22</x:f>
        <x:v>1630.6717441692433</x:v>
      </x:c>
      <x:c r="R30" s="135" t="n">
        <x:f>(R27*'Assumptions'!$D$19+R28*'Assumptions'!$D$20)*'Assumptions'!$D$21+R29*'Assumptions'!$D$23+(R27+R28)*'Assumptions'!$D$22</x:f>
        <x:v>1820.822410862906</x:v>
      </x:c>
      <x:c r="S30" s="135" t="n">
        <x:f>(S27*'Assumptions'!$D$19+S28*'Assumptions'!$D$20)*'Assumptions'!$D$21+S29*'Assumptions'!$D$23+(S27+S28)*'Assumptions'!$D$22</x:f>
        <x:v>2028.9420554218545</x:v>
      </x:c>
      <x:c r="T30" s="135" t="n">
        <x:f>(T27*'Assumptions'!$D$19+T28*'Assumptions'!$D$20)*'Assumptions'!$D$21+T29*'Assumptions'!$D$23+(T27+T28)*'Assumptions'!$D$22</x:f>
        <x:v>2256.967499341129</x:v>
      </x:c>
      <x:c r="U30" s="135" t="n">
        <x:f>(U27*'Assumptions'!$D$19+U28*'Assumptions'!$D$20)*'Assumptions'!$D$21+U29*'Assumptions'!$D$23+(U27+U28)*'Assumptions'!$D$22</x:f>
        <x:v>2507.0431957903807</x:v>
      </x:c>
      <x:c r="V30" s="135" t="n">
        <x:f>(V27*'Assumptions'!$D$19+V28*'Assumptions'!$D$20)*'Assumptions'!$D$21+V29*'Assumptions'!$D$23+(V27+V28)*'Assumptions'!$D$22</x:f>
        <x:v>2781.5445099515846</x:v>
      </x:c>
      <x:c r="W30" s="135" t="n">
        <x:f>(W27*'Assumptions'!$D$19+W28*'Assumptions'!$D$20)*'Assumptions'!$D$21+W29*'Assumptions'!$D$23+(W27+W28)*'Assumptions'!$D$22</x:f>
        <x:v>3083.1036439009763</x:v>
      </x:c>
      <x:c r="X30" s="135" t="n">
        <x:f>(X27*'Assumptions'!$D$19+X28*'Assumptions'!$D$20)*'Assumptions'!$D$21+X29*'Assumptions'!$D$23+(X27+X28)*'Assumptions'!$D$22</x:f>
        <x:v>3414.6385124706794</x:v>
      </x:c>
      <x:c r="Y30" s="135" t="n">
        <x:f>(Y27*'Assumptions'!$D$19+Y28*'Assumptions'!$D$20)*'Assumptions'!$D$21+Y29*'Assumptions'!$D$23+(Y27+Y28)*'Assumptions'!$D$22</x:f>
        <x:v>3779.384912366191</x:v>
      </x:c>
      <x:c r="Z30" s="135" t="n">
        <x:f>(Z27*'Assumptions'!$D$19+Z28*'Assumptions'!$D$20)*'Assumptions'!$D$21+Z29*'Assumptions'!$D$23+(Z27+Z28)*'Assumptions'!$D$22</x:f>
        <x:v>4180.932366886464</x:v>
      </x:c>
      <x:c r="AA30" s="135" t="n">
        <x:f>(AA27*'Assumptions'!$D$19+AA28*'Assumptions'!$D$20)*'Assumptions'!$D$21+AA29*'Assumptions'!$D$23+(AA27+AA28)*'Assumptions'!$D$22</x:f>
        <x:v>4623.264073395363</x:v>
      </x:c>
      <x:c r="AB30" s="135" t="n">
        <x:f>(AB27*'Assumptions'!$D$19+AB28*'Assumptions'!$D$20)*'Assumptions'!$D$21+AB29*'Assumptions'!$D$23+(AB27+AB28)*'Assumptions'!$D$22</x:f>
        <x:v>5110.801430788255</x:v>
      </x:c>
      <x:c r="AC30" s="135" t="n">
        <x:f>(AC27*'Assumptions'!$D$19+AC28*'Assumptions'!$D$20)*'Assumptions'!$D$21+AC29*'Assumptions'!$D$23+(AC27+AC28)*'Assumptions'!$D$22</x:f>
        <x:v>5648.453680213763</x:v>
      </x:c>
      <x:c r="AD30" s="135" t="n">
        <x:f>(AD27*'Assumptions'!$D$19+AD28*'Assumptions'!$D$20)*'Assumptions'!$D$21+AD29*'Assumptions'!$D$23+(AD27+AD28)*'Assumptions'!$D$22</x:f>
        <x:v>6241.673254951307</x:v>
      </x:c>
      <x:c r="AE30" s="135" t="n">
        <x:f>(AE27*'Assumptions'!$D$19+AE28*'Assumptions'!$D$20)*'Assumptions'!$D$21+AE29*'Assumptions'!$D$23+(AE27+AE28)*'Assumptions'!$D$22</x:f>
        <x:v>6896.517505397148</x:v>
      </x:c>
      <x:c r="AF30" s="135" t="n">
        <x:f>(AF27*'Assumptions'!$D$19+AF28*'Assumptions'!$D$20)*'Assumptions'!$D$21+AF29*'Assumptions'!$D$23+(AF27+AF28)*'Assumptions'!$D$22</x:f>
        <x:v>7619.717543455759</x:v>
      </x:c>
      <x:c r="AG30" s="135" t="n">
        <x:f>(AG27*'Assumptions'!$D$19+AG28*'Assumptions'!$D$20)*'Assumptions'!$D$21+AG29*'Assumptions'!$D$23+(AG27+AG28)*'Assumptions'!$D$22</x:f>
        <x:v>8418.75503825552</x:v>
      </x:c>
      <x:c r="AH30" s="135" t="n">
        <x:f>(AH27*'Assumptions'!$D$19+AH28*'Assumptions'!$D$20)*'Assumptions'!$D$21+AH29*'Assumptions'!$D$23+(AH27+AH28)*'Assumptions'!$D$22</x:f>
        <x:v>9301.947893111104</x:v>
      </x:c>
      <x:c r="AI30" s="135" t="n">
        <x:f>(AI27*'Assumptions'!$D$19+AI28*'Assumptions'!$D$20)*'Assumptions'!$D$21+AI29*'Assumptions'!$D$23+(AI27+AI28)*'Assumptions'!$D$22</x:f>
        <x:v>10278.54584327462</x:v>
      </x:c>
      <x:c r="AJ30" s="135" t="n">
        <x:f>(AJ27*'Assumptions'!$D$19+AJ28*'Assumptions'!$D$20)*'Assumptions'!$D$21+AJ29*'Assumptions'!$D$23+(AJ27+AJ28)*'Assumptions'!$D$22</x:f>
        <x:v>11358.83713663574</x:v>
      </x:c>
      <x:c r="AK30" s="135" t="n">
        <x:f>(AK27*'Assumptions'!$D$19+AK28*'Assumptions'!$D$20)*'Assumptions'!$D$21+AK29*'Assumptions'!$D$23+(AK27+AK28)*'Assumptions'!$D$22</x:f>
        <x:v>12554.267596695126</x:v>
      </x:c>
    </x:row>
    <x:row r="31">
      <x:c r="A31" s="134" t="str">
        <x:v>Operating expenses</x:v>
      </x:c>
      <x:c r="B31" s="135" t="n">
        <x:f>'Assumptions'!$D$25*(1+'Assumptions'!$D$26)^(1-1)+'Assumptions'!$D$27+IF(1&gt;='Assumptions'!$D$29,'Assumptions'!$D$28,0)+IF(1&gt;='Assumptions'!$D$31,'Assumptions'!$D$30,0)+'Assumptions'!$D$32*(1+'Assumptions'!$D$33)^(1-1)+'Assumptions'!$D$34</x:f>
        <x:v>4350</x:v>
      </x:c>
      <x:c r="C31" s="135" t="n">
        <x:f>'Assumptions'!$D$25*(1+'Assumptions'!$D$26)^(2-1)+'Assumptions'!$D$27+IF(2&gt;='Assumptions'!$D$29,'Assumptions'!$D$28,0)+IF(2&gt;='Assumptions'!$D$31,'Assumptions'!$D$30,0)+'Assumptions'!$D$32*(1+'Assumptions'!$D$33)^(2-1)+'Assumptions'!$D$34</x:f>
        <x:v>4435</x:v>
      </x:c>
      <x:c r="D31" s="135" t="n">
        <x:f>'Assumptions'!$D$25*(1+'Assumptions'!$D$26)^(3-1)+'Assumptions'!$D$27+IF(3&gt;='Assumptions'!$D$29,'Assumptions'!$D$28,0)+IF(3&gt;='Assumptions'!$D$31,'Assumptions'!$D$30,0)+'Assumptions'!$D$32*(1+'Assumptions'!$D$33)^(3-1)+'Assumptions'!$D$34</x:f>
        <x:v>4524.85</x:v>
      </x:c>
      <x:c r="E31" s="135" t="n">
        <x:f>'Assumptions'!$D$25*(1+'Assumptions'!$D$26)^(4-1)+'Assumptions'!$D$27+IF(4&gt;='Assumptions'!$D$29,'Assumptions'!$D$28,0)+IF(4&gt;='Assumptions'!$D$31,'Assumptions'!$D$30,0)+'Assumptions'!$D$32*(1+'Assumptions'!$D$33)^(4-1)+'Assumptions'!$D$34</x:f>
        <x:v>4619.8285000000005</x:v>
      </x:c>
      <x:c r="F31" s="135" t="n">
        <x:f>'Assumptions'!$D$25*(1+'Assumptions'!$D$26)^(5-1)+'Assumptions'!$D$27+IF(5&gt;='Assumptions'!$D$29,'Assumptions'!$D$28,0)+IF(5&gt;='Assumptions'!$D$31,'Assumptions'!$D$30,0)+'Assumptions'!$D$32*(1+'Assumptions'!$D$33)^(5-1)+'Assumptions'!$D$34</x:f>
        <x:v>4720.230085</x:v>
      </x:c>
      <x:c r="G31" s="135" t="n">
        <x:f>'Assumptions'!$D$25*(1+'Assumptions'!$D$26)^(6-1)+'Assumptions'!$D$27+IF(6&gt;='Assumptions'!$D$29,'Assumptions'!$D$28,0)+IF(6&gt;='Assumptions'!$D$31,'Assumptions'!$D$30,0)+'Assumptions'!$D$32*(1+'Assumptions'!$D$33)^(6-1)+'Assumptions'!$D$34</x:f>
        <x:v>4826.36635885</x:v>
      </x:c>
      <x:c r="H31" s="135" t="n">
        <x:f>'Assumptions'!$D$25*(1+'Assumptions'!$D$26)^(7-1)+'Assumptions'!$D$27+IF(7&gt;='Assumptions'!$D$29,'Assumptions'!$D$28,0)+IF(7&gt;='Assumptions'!$D$31,'Assumptions'!$D$30,0)+'Assumptions'!$D$32*(1+'Assumptions'!$D$33)^(7-1)+'Assumptions'!$D$34</x:f>
        <x:v>8938.566932568501</x:v>
      </x:c>
      <x:c r="I31" s="135" t="n">
        <x:f>'Assumptions'!$D$25*(1+'Assumptions'!$D$26)^(8-1)+'Assumptions'!$D$27+IF(8&gt;='Assumptions'!$D$29,'Assumptions'!$D$28,0)+IF(8&gt;='Assumptions'!$D$31,'Assumptions'!$D$30,0)+'Assumptions'!$D$32*(1+'Assumptions'!$D$33)^(8-1)+'Assumptions'!$D$34</x:f>
        <x:v>9057.180470319485</x:v>
      </x:c>
      <x:c r="J31" s="135" t="n">
        <x:f>'Assumptions'!$D$25*(1+'Assumptions'!$D$26)^(9-1)+'Assumptions'!$D$27+IF(9&gt;='Assumptions'!$D$29,'Assumptions'!$D$28,0)+IF(9&gt;='Assumptions'!$D$31,'Assumptions'!$D$30,0)+'Assumptions'!$D$32*(1+'Assumptions'!$D$33)^(9-1)+'Assumptions'!$D$34</x:f>
        <x:v>9182.575796425373</x:v>
      </x:c>
      <x:c r="K31" s="135" t="n">
        <x:f>'Assumptions'!$D$25*(1+'Assumptions'!$D$26)^(10-1)+'Assumptions'!$D$27+IF(10&gt;='Assumptions'!$D$29,'Assumptions'!$D$28,0)+IF(10&gt;='Assumptions'!$D$31,'Assumptions'!$D$30,0)+'Assumptions'!$D$32*(1+'Assumptions'!$D$33)^(10-1)+'Assumptions'!$D$34</x:f>
        <x:v>11815.14306699195</x:v>
      </x:c>
      <x:c r="L31" s="135" t="n">
        <x:f>'Assumptions'!$D$25*(1+'Assumptions'!$D$26)^(11-1)+'Assumptions'!$D$27+IF(11&gt;='Assumptions'!$D$29,'Assumptions'!$D$28,0)+IF(11&gt;='Assumptions'!$D$31,'Assumptions'!$D$30,0)+'Assumptions'!$D$32*(1+'Assumptions'!$D$33)^(11-1)+'Assumptions'!$D$34</x:f>
        <x:v>11955.295009931575</x:v>
      </x:c>
      <x:c r="M31" s="135" t="n">
        <x:f>'Assumptions'!$D$25*(1+'Assumptions'!$D$26)^(12-1)+'Assumptions'!$D$27+IF(12&gt;='Assumptions'!$D$29,'Assumptions'!$D$28,0)+IF(12&gt;='Assumptions'!$D$31,'Assumptions'!$D$30,0)+'Assumptions'!$D$32*(1+'Assumptions'!$D$33)^(12-1)+'Assumptions'!$D$34</x:f>
        <x:v>12103.468237393583</x:v>
      </x:c>
      <x:c r="N31" s="135" t="n">
        <x:f>'Assumptions'!$D$25*(1+'Assumptions'!$D$26)^(13-1)+'Assumptions'!$D$27+IF(13&gt;='Assumptions'!$D$29,'Assumptions'!$D$28,0)+IF(13&gt;='Assumptions'!$D$31,'Assumptions'!$D$30,0)+'Assumptions'!$D$32*(1+'Assumptions'!$D$33)^(13-1)+'Assumptions'!$D$34</x:f>
        <x:v>12260.124634846617</x:v>
      </x:c>
      <x:c r="O31" s="135" t="n">
        <x:f>'Assumptions'!$D$25*(1+'Assumptions'!$D$26)^(14-1)+'Assumptions'!$D$27+IF(14&gt;='Assumptions'!$D$29,'Assumptions'!$D$28,0)+IF(14&gt;='Assumptions'!$D$31,'Assumptions'!$D$30,0)+'Assumptions'!$D$32*(1+'Assumptions'!$D$33)^(14-1)+'Assumptions'!$D$34</x:f>
        <x:v>12425.752831307303</x:v>
      </x:c>
      <x:c r="P31" s="135" t="n">
        <x:f>'Assumptions'!$D$25*(1+'Assumptions'!$D$26)^(15-1)+'Assumptions'!$D$27+IF(15&gt;='Assumptions'!$D$29,'Assumptions'!$D$28,0)+IF(15&gt;='Assumptions'!$D$31,'Assumptions'!$D$30,0)+'Assumptions'!$D$32*(1+'Assumptions'!$D$33)^(15-1)+'Assumptions'!$D$34</x:f>
        <x:v>12600.869755474125</x:v>
      </x:c>
      <x:c r="Q31" s="135" t="n">
        <x:f>'Assumptions'!$D$25*(1+'Assumptions'!$D$26)^(16-1)+'Assumptions'!$D$27+IF(16&gt;='Assumptions'!$D$29,'Assumptions'!$D$28,0)+IF(16&gt;='Assumptions'!$D$31,'Assumptions'!$D$30,0)+'Assumptions'!$D$32*(1+'Assumptions'!$D$33)^(16-1)+'Assumptions'!$D$34</x:f>
        <x:v>12786.022282805377</x:v>
      </x:c>
      <x:c r="R31" s="135" t="n">
        <x:f>'Assumptions'!$D$25*(1+'Assumptions'!$D$26)^(17-1)+'Assumptions'!$D$27+IF(17&gt;='Assumptions'!$D$29,'Assumptions'!$D$28,0)+IF(17&gt;='Assumptions'!$D$31,'Assumptions'!$D$30,0)+'Assumptions'!$D$32*(1+'Assumptions'!$D$33)^(17-1)+'Assumptions'!$D$34</x:f>
        <x:v>12981.78897887664</x:v>
      </x:c>
      <x:c r="S31" s="135" t="n">
        <x:f>'Assumptions'!$D$25*(1+'Assumptions'!$D$26)^(18-1)+'Assumptions'!$D$27+IF(18&gt;='Assumptions'!$D$29,'Assumptions'!$D$28,0)+IF(18&gt;='Assumptions'!$D$31,'Assumptions'!$D$30,0)+'Assumptions'!$D$32*(1+'Assumptions'!$D$33)^(18-1)+'Assumptions'!$D$34</x:f>
        <x:v>13188.781944667331</x:v>
      </x:c>
      <x:c r="T31" s="135" t="n">
        <x:f>'Assumptions'!$D$25*(1+'Assumptions'!$D$26)^(19-1)+'Assumptions'!$D$27+IF(19&gt;='Assumptions'!$D$29,'Assumptions'!$D$28,0)+IF(19&gt;='Assumptions'!$D$31,'Assumptions'!$D$30,0)+'Assumptions'!$D$32*(1+'Assumptions'!$D$33)^(19-1)+'Assumptions'!$D$34</x:f>
        <x:v>13407.648769758367</x:v>
      </x:c>
      <x:c r="U31" s="135" t="n">
        <x:f>'Assumptions'!$D$25*(1+'Assumptions'!$D$26)^(20-1)+'Assumptions'!$D$27+IF(20&gt;='Assumptions'!$D$29,'Assumptions'!$D$28,0)+IF(20&gt;='Assumptions'!$D$31,'Assumptions'!$D$30,0)+'Assumptions'!$D$32*(1+'Assumptions'!$D$33)^(20-1)+'Assumptions'!$D$34</x:f>
        <x:v>13639.074599775413</x:v>
      </x:c>
      <x:c r="V31" s="135" t="n">
        <x:f>'Assumptions'!$D$25*(1+'Assumptions'!$D$26)^(21-1)+'Assumptions'!$D$27+IF(21&gt;='Assumptions'!$D$29,'Assumptions'!$D$28,0)+IF(21&gt;='Assumptions'!$D$31,'Assumptions'!$D$30,0)+'Assumptions'!$D$32*(1+'Assumptions'!$D$33)^(21-1)+'Assumptions'!$D$34</x:f>
        <x:v>13883.78432478506</x:v>
      </x:c>
      <x:c r="W31" s="135" t="n">
        <x:f>'Assumptions'!$D$25*(1+'Assumptions'!$D$26)^(22-1)+'Assumptions'!$D$27+IF(22&gt;='Assumptions'!$D$29,'Assumptions'!$D$28,0)+IF(22&gt;='Assumptions'!$D$31,'Assumptions'!$D$30,0)+'Assumptions'!$D$32*(1+'Assumptions'!$D$33)^(22-1)+'Assumptions'!$D$34</x:f>
        <x:v>14142.54489574644</x:v>
      </x:c>
      <x:c r="X31" s="135" t="n">
        <x:f>'Assumptions'!$D$25*(1+'Assumptions'!$D$26)^(23-1)+'Assumptions'!$D$27+IF(23&gt;='Assumptions'!$D$29,'Assumptions'!$D$28,0)+IF(23&gt;='Assumptions'!$D$31,'Assumptions'!$D$30,0)+'Assumptions'!$D$32*(1+'Assumptions'!$D$33)^(23-1)+'Assumptions'!$D$34</x:f>
        <x:v>14416.16777653922</x:v>
      </x:c>
      <x:c r="Y31" s="135" t="n">
        <x:f>'Assumptions'!$D$25*(1+'Assumptions'!$D$26)^(24-1)+'Assumptions'!$D$27+IF(24&gt;='Assumptions'!$D$29,'Assumptions'!$D$28,0)+IF(24&gt;='Assumptions'!$D$31,'Assumptions'!$D$30,0)+'Assumptions'!$D$32*(1+'Assumptions'!$D$33)^(24-1)+'Assumptions'!$D$34</x:f>
        <x:v>14705.511539531964</x:v>
      </x:c>
      <x:c r="Z31" s="135" t="n">
        <x:f>'Assumptions'!$D$25*(1+'Assumptions'!$D$26)^(25-1)+'Assumptions'!$D$27+IF(25&gt;='Assumptions'!$D$29,'Assumptions'!$D$28,0)+IF(25&gt;='Assumptions'!$D$31,'Assumptions'!$D$30,0)+'Assumptions'!$D$32*(1+'Assumptions'!$D$33)^(25-1)+'Assumptions'!$D$34</x:f>
        <x:v>15011.484613124294</x:v>
      </x:c>
      <x:c r="AA31" s="135" t="n">
        <x:f>'Assumptions'!$D$25*(1+'Assumptions'!$D$26)^(26-1)+'Assumptions'!$D$27+IF(26&gt;='Assumptions'!$D$29,'Assumptions'!$D$28,0)+IF(26&gt;='Assumptions'!$D$31,'Assumptions'!$D$30,0)+'Assumptions'!$D$32*(1+'Assumptions'!$D$33)^(26-1)+'Assumptions'!$D$34</x:f>
        <x:v>15335.048190193183</x:v>
      </x:c>
      <x:c r="AB31" s="135" t="n">
        <x:f>'Assumptions'!$D$25*(1+'Assumptions'!$D$26)^(27-1)+'Assumptions'!$D$27+IF(27&gt;='Assumptions'!$D$29,'Assumptions'!$D$28,0)+IF(27&gt;='Assumptions'!$D$31,'Assumptions'!$D$30,0)+'Assumptions'!$D$32*(1+'Assumptions'!$D$33)^(27-1)+'Assumptions'!$D$34</x:f>
        <x:v>15677.219306900279</x:v>
      </x:c>
      <x:c r="AC31" s="135" t="n">
        <x:f>'Assumptions'!$D$25*(1+'Assumptions'!$D$26)^(28-1)+'Assumptions'!$D$27+IF(28&gt;='Assumptions'!$D$29,'Assumptions'!$D$28,0)+IF(28&gt;='Assumptions'!$D$31,'Assumptions'!$D$30,0)+'Assumptions'!$D$32*(1+'Assumptions'!$D$33)^(28-1)+'Assumptions'!$D$34</x:f>
        <x:v>16039.074101874572</x:v>
      </x:c>
      <x:c r="AD31" s="135" t="n">
        <x:f>'Assumptions'!$D$25*(1+'Assumptions'!$D$26)^(29-1)+'Assumptions'!$D$27+IF(29&gt;='Assumptions'!$D$29,'Assumptions'!$D$28,0)+IF(29&gt;='Assumptions'!$D$31,'Assumptions'!$D$30,0)+'Assumptions'!$D$32*(1+'Assumptions'!$D$33)^(29-1)+'Assumptions'!$D$34</x:f>
        <x:v>16421.751266375337</x:v>
      </x:c>
      <x:c r="AE31" s="135" t="n">
        <x:f>'Assumptions'!$D$25*(1+'Assumptions'!$D$26)^(30-1)+'Assumptions'!$D$27+IF(30&gt;='Assumptions'!$D$29,'Assumptions'!$D$28,0)+IF(30&gt;='Assumptions'!$D$31,'Assumptions'!$D$30,0)+'Assumptions'!$D$32*(1+'Assumptions'!$D$33)^(30-1)+'Assumptions'!$D$34</x:f>
        <x:v>16826.455696665565</x:v>
      </x:c>
      <x:c r="AF31" s="135" t="n">
        <x:f>'Assumptions'!$D$25*(1+'Assumptions'!$D$26)^(31-1)+'Assumptions'!$D$27+IF(31&gt;='Assumptions'!$D$29,'Assumptions'!$D$28,0)+IF(31&gt;='Assumptions'!$D$31,'Assumptions'!$D$30,0)+'Assumptions'!$D$32*(1+'Assumptions'!$D$33)^(31-1)+'Assumptions'!$D$34</x:f>
        <x:v>17254.462360488593</x:v>
      </x:c>
      <x:c r="AG31" s="135" t="n">
        <x:f>'Assumptions'!$D$25*(1+'Assumptions'!$D$26)^(32-1)+'Assumptions'!$D$27+IF(32&gt;='Assumptions'!$D$29,'Assumptions'!$D$28,0)+IF(32&gt;='Assumptions'!$D$31,'Assumptions'!$D$30,0)+'Assumptions'!$D$32*(1+'Assumptions'!$D$33)^(32-1)+'Assumptions'!$D$34</x:f>
        <x:v>17707.120390242155</x:v>
      </x:c>
      <x:c r="AH31" s="135" t="n">
        <x:f>'Assumptions'!$D$25*(1+'Assumptions'!$D$26)^(33-1)+'Assumptions'!$D$27+IF(33&gt;='Assumptions'!$D$29,'Assumptions'!$D$28,0)+IF(33&gt;='Assumptions'!$D$31,'Assumptions'!$D$30,0)+'Assumptions'!$D$32*(1+'Assumptions'!$D$33)^(33-1)+'Assumptions'!$D$34</x:f>
        <x:v>18185.857416187144</x:v>
      </x:c>
      <x:c r="AI31" s="135" t="n">
        <x:f>'Assumptions'!$D$25*(1+'Assumptions'!$D$26)^(34-1)+'Assumptions'!$D$27+IF(34&gt;='Assumptions'!$D$29,'Assumptions'!$D$28,0)+IF(34&gt;='Assumptions'!$D$31,'Assumptions'!$D$30,0)+'Assumptions'!$D$32*(1+'Assumptions'!$D$33)^(34-1)+'Assumptions'!$D$34</x:f>
        <x:v>18692.184153815357</x:v>
      </x:c>
      <x:c r="AJ31" s="135" t="n">
        <x:f>'Assumptions'!$D$25*(1+'Assumptions'!$D$26)^(35-1)+'Assumptions'!$D$27+IF(35&gt;='Assumptions'!$D$29,'Assumptions'!$D$28,0)+IF(35&gt;='Assumptions'!$D$31,'Assumptions'!$D$30,0)+'Assumptions'!$D$32*(1+'Assumptions'!$D$33)^(35-1)+'Assumptions'!$D$34</x:f>
        <x:v>19227.699260334106</x:v>
      </x:c>
      <x:c r="AK31" s="135" t="n">
        <x:f>'Assumptions'!$D$25*(1+'Assumptions'!$D$26)^(36-1)+'Assumptions'!$D$27+IF(36&gt;='Assumptions'!$D$29,'Assumptions'!$D$28,0)+IF(36&gt;='Assumptions'!$D$31,'Assumptions'!$D$30,0)+'Assumptions'!$D$32*(1+'Assumptions'!$D$33)^(36-1)+'Assumptions'!$D$34</x:f>
        <x:v>19794.09447610848</x:v>
      </x:c>
    </x:row>
    <x:row r="32">
      <x:c r="A32" s="134" t="str">
        <x:v>Operating profit</x:v>
      </x:c>
      <x:c r="B32" s="135" t="n">
        <x:f>B29-B30-B31</x:f>
        <x:v>-3878.7468</x:v>
      </x:c>
      <x:c r="C32" s="135" t="n">
        <x:f>C29-C30-C31</x:f>
        <x:v>-3466.859356</x:v>
      </x:c>
      <x:c r="D32" s="135" t="n">
        <x:f>D29-D30-D31</x:f>
        <x:v>-3030.6562927600003</x:v>
      </x:c>
      <x:c r="E32" s="135" t="n">
        <x:f>E29-E30-E31</x:f>
        <x:v>-2566.5646093660007</x:v>
      </x:c>
      <x:c r="F32" s="135" t="n">
        <x:f>F29-F30-F31</x:f>
        <x:v>-2070.669806243548</x:v>
      </x:c>
      <x:c r="G32" s="135" t="n">
        <x:f>G29-G30-G31</x:f>
        <x:v>-1538.675350586187</x:v>
      </x:c>
      <x:c r="H32" s="135" t="n">
        <x:f>H29-H30-H31</x:f>
        <x:v>-4965.857719812235</x:v>
      </x:c>
      <x:c r="I32" s="135" t="n">
        <x:f>I29-I30-I31</x:f>
        <x:v>-4347.016506915974</x:v>
      </x:c>
      <x:c r="J32" s="135" t="n">
        <x:f>J29-J30-J31</x:f>
        <x:v>-3676.4190121758456</x:v>
      </x:c>
      <x:c r="K32" s="135" t="n">
        <x:f>K29-K30-K31</x:f>
        <x:v>-5447.738679279881</x:v>
      </x:c>
      <x:c r="L32" s="135" t="n">
        <x:f>L29-L30-L31</x:f>
        <x:v>-4653.986659702946</x:v>
      </x:c>
      <x:c r="M32" s="135" t="n">
        <x:f>M29-M30-M31</x:f>
        <x:v>-3787.435706198481</x:v>
      </x:c>
      <x:c r="N32" s="135" t="n">
        <x:f>N29-N30-N31</x:f>
        <x:v>-2839.5355035173125</x:v>
      </x:c>
      <x:c r="O32" s="135" t="n">
        <x:f>O29-O30-O31</x:f>
        <x:v>-1800.8184407824356</x:v>
      </x:c>
      <x:c r="P32" s="135" t="n">
        <x:f>P29-P30-P31</x:f>
        <x:v>-660.7947140394081</x:v>
      </x:c>
      <x:c r="Q32" s="135" t="n">
        <x:f>Q29-Q30-Q31</x:f>
        <x:v>592.1644820794263</x:v>
      </x:c>
      <x:c r="R32" s="135" t="n">
        <x:f>R29-R30-R31</x:f>
        <x:v>1970.9570595097812</x:v>
      </x:c>
      <x:c r="S32" s="135" t="n">
        <x:f>S29-S30-S31</x:f>
        <x:v>3489.894986634219</x:v>
      </x:c>
      <x:c r="T32" s="135" t="n">
        <x:f>T29-T30-T31</x:f>
        <x:v>5164.865811888625</x:v>
      </x:c>
      <x:c r="U32" s="135" t="n">
        <x:f>U29-U30-U31</x:f>
        <x:v>7013.512692592958</x:v>
      </x:c>
      <x:c r="V32" s="135" t="n">
        <x:f>V29-V30-V31</x:f>
        <x:v>9055.435086927757</x:v>
      </x:c>
      <x:c r="W32" s="135" t="n">
        <x:f>W29-W30-W31</x:f>
        <x:v>11312.41252017353</x:v>
      </x:c>
      <x:c r="X32" s="135" t="n">
        <x:f>X29-X30-X31</x:f>
        <x:v>13808.65411947534</x:v>
      </x:c>
      <x:c r="Y32" s="135" t="n">
        <x:f>Y29-Y30-Y31</x:f>
        <x:v>16571.076928045615</x:v>
      </x:c>
      <x:c r="Z32" s="135" t="n">
        <x:f>Z29-Z30-Z31</x:f>
        <x:v>19629.616363854933</x:v>
      </x:c>
      <x:c r="AA32" s="135" t="n">
        <x:f>AA29-AA30-AA31</x:f>
        <x:v>23017.57258393884</x:v>
      </x:c>
      <x:c r="AB32" s="135" t="n">
        <x:f>AB29-AB30-AB31</x:f>
        <x:v>26771.996958453852</x:v>
      </x:c>
      <x:c r="AC32" s="135" t="n">
        <x:f>AC29-AC30-AC31</x:f>
        <x:v>30934.12335412986</x:v>
      </x:c>
      <x:c r="AD32" s="135" t="n">
        <x:f>AD29-AD30-AD31</x:f>
        <x:v>35549.84948103417</x:v>
      </x:c>
      <x:c r="AE32" s="135" t="n">
        <x:f>AE29-AE30-AE31</x:f>
        <x:v>40670.27417657792</x:v>
      </x:c>
      <x:c r="AF32" s="135" t="n">
        <x:f>AF29-AF30-AF31</x:f>
        <x:v>46352.29719428394</x:v>
      </x:c>
      <x:c r="AG32" s="135" t="n">
        <x:f>AG29-AG30-AG31</x:f>
        <x:v>52659.28884075626</x:v>
      </x:c>
      <x:c r="AH32" s="135" t="n">
        <x:f>AH29-AH30-AH31</x:f>
        <x:v>59661.83767235315</x:v>
      </x:c>
      <x:c r="AI32" s="135" t="n">
        <x:f>AI29-AI30-AI31</x:f>
        <x:v>67438.58543424343</x:v>
      </x:c>
      <x:c r="AJ32" s="135" t="n">
        <x:f>AJ29-AJ30-AJ31</x:f>
        <x:v>76077.15951110782</x:v>
      </x:c>
      <x:c r="AK32" s="135" t="n">
        <x:f>AK29-AK30-AK31</x:f>
        <x:v>85675.21437449026</x:v>
      </x:c>
    </x:row>
    <x:row r="33">
      <x:c r="A33" s="134" t="str">
        <x:v>Financing</x:v>
      </x:c>
      <x:c r="B33" s="135" t="n">
        <x:f>IF(1='Assumptions'!$D$37,'Assumptions'!$D$36,0)</x:f>
        <x:v>0</x:v>
      </x:c>
      <x:c r="C33" s="135" t="n">
        <x:f>IF(2='Assumptions'!$D$37,'Assumptions'!$D$36,0)</x:f>
        <x:v>0</x:v>
      </x:c>
      <x:c r="D33" s="135" t="n">
        <x:f>IF(3='Assumptions'!$D$37,'Assumptions'!$D$36,0)</x:f>
        <x:v>0</x:v>
      </x:c>
      <x:c r="E33" s="135" t="n">
        <x:f>IF(4='Assumptions'!$D$37,'Assumptions'!$D$36,0)</x:f>
        <x:v>0</x:v>
      </x:c>
      <x:c r="F33" s="135" t="n">
        <x:f>IF(5='Assumptions'!$D$37,'Assumptions'!$D$36,0)</x:f>
        <x:v>0</x:v>
      </x:c>
      <x:c r="G33" s="135" t="n">
        <x:f>IF(6='Assumptions'!$D$37,'Assumptions'!$D$36,0)</x:f>
        <x:v>0</x:v>
      </x:c>
      <x:c r="H33" s="135" t="n">
        <x:f>IF(7='Assumptions'!$D$37,'Assumptions'!$D$36,0)</x:f>
        <x:v>0</x:v>
      </x:c>
      <x:c r="I33" s="135" t="n">
        <x:f>IF(8='Assumptions'!$D$37,'Assumptions'!$D$36,0)</x:f>
        <x:v>0</x:v>
      </x:c>
      <x:c r="J33" s="135" t="n">
        <x:f>IF(9='Assumptions'!$D$37,'Assumptions'!$D$36,0)</x:f>
        <x:v>0</x:v>
      </x:c>
      <x:c r="K33" s="135" t="n">
        <x:f>IF(10='Assumptions'!$D$37,'Assumptions'!$D$36,0)</x:f>
        <x:v>0</x:v>
      </x:c>
      <x:c r="L33" s="135" t="n">
        <x:f>IF(11='Assumptions'!$D$37,'Assumptions'!$D$36,0)</x:f>
        <x:v>0</x:v>
      </x:c>
      <x:c r="M33" s="135" t="n">
        <x:f>IF(12='Assumptions'!$D$37,'Assumptions'!$D$36,0)</x:f>
        <x:v>0</x:v>
      </x:c>
      <x:c r="N33" s="135" t="n">
        <x:f>IF(13='Assumptions'!$D$37,'Assumptions'!$D$36,0)</x:f>
        <x:v>150000</x:v>
      </x:c>
      <x:c r="O33" s="135" t="n">
        <x:f>IF(14='Assumptions'!$D$37,'Assumptions'!$D$36,0)</x:f>
        <x:v>0</x:v>
      </x:c>
      <x:c r="P33" s="135" t="n">
        <x:f>IF(15='Assumptions'!$D$37,'Assumptions'!$D$36,0)</x:f>
        <x:v>0</x:v>
      </x:c>
      <x:c r="Q33" s="135" t="n">
        <x:f>IF(16='Assumptions'!$D$37,'Assumptions'!$D$36,0)</x:f>
        <x:v>0</x:v>
      </x:c>
      <x:c r="R33" s="135" t="n">
        <x:f>IF(17='Assumptions'!$D$37,'Assumptions'!$D$36,0)</x:f>
        <x:v>0</x:v>
      </x:c>
      <x:c r="S33" s="135" t="n">
        <x:f>IF(18='Assumptions'!$D$37,'Assumptions'!$D$36,0)</x:f>
        <x:v>0</x:v>
      </x:c>
      <x:c r="T33" s="135" t="n">
        <x:f>IF(19='Assumptions'!$D$37,'Assumptions'!$D$36,0)</x:f>
        <x:v>0</x:v>
      </x:c>
      <x:c r="U33" s="135" t="n">
        <x:f>IF(20='Assumptions'!$D$37,'Assumptions'!$D$36,0)</x:f>
        <x:v>0</x:v>
      </x:c>
      <x:c r="V33" s="135" t="n">
        <x:f>IF(21='Assumptions'!$D$37,'Assumptions'!$D$36,0)</x:f>
        <x:v>0</x:v>
      </x:c>
      <x:c r="W33" s="135" t="n">
        <x:f>IF(22='Assumptions'!$D$37,'Assumptions'!$D$36,0)</x:f>
        <x:v>0</x:v>
      </x:c>
      <x:c r="X33" s="135" t="n">
        <x:f>IF(23='Assumptions'!$D$37,'Assumptions'!$D$36,0)</x:f>
        <x:v>0</x:v>
      </x:c>
      <x:c r="Y33" s="135" t="n">
        <x:f>IF(24='Assumptions'!$D$37,'Assumptions'!$D$36,0)</x:f>
        <x:v>0</x:v>
      </x:c>
      <x:c r="Z33" s="135" t="n">
        <x:f>IF(25='Assumptions'!$D$37,'Assumptions'!$D$36,0)</x:f>
        <x:v>0</x:v>
      </x:c>
      <x:c r="AA33" s="135" t="n">
        <x:f>IF(26='Assumptions'!$D$37,'Assumptions'!$D$36,0)</x:f>
        <x:v>0</x:v>
      </x:c>
      <x:c r="AB33" s="135" t="n">
        <x:f>IF(27='Assumptions'!$D$37,'Assumptions'!$D$36,0)</x:f>
        <x:v>0</x:v>
      </x:c>
      <x:c r="AC33" s="135" t="n">
        <x:f>IF(28='Assumptions'!$D$37,'Assumptions'!$D$36,0)</x:f>
        <x:v>0</x:v>
      </x:c>
      <x:c r="AD33" s="135" t="n">
        <x:f>IF(29='Assumptions'!$D$37,'Assumptions'!$D$36,0)</x:f>
        <x:v>0</x:v>
      </x:c>
      <x:c r="AE33" s="135" t="n">
        <x:f>IF(30='Assumptions'!$D$37,'Assumptions'!$D$36,0)</x:f>
        <x:v>0</x:v>
      </x:c>
      <x:c r="AF33" s="135" t="n">
        <x:f>IF(31='Assumptions'!$D$37,'Assumptions'!$D$36,0)</x:f>
        <x:v>0</x:v>
      </x:c>
      <x:c r="AG33" s="135" t="n">
        <x:f>IF(32='Assumptions'!$D$37,'Assumptions'!$D$36,0)</x:f>
        <x:v>0</x:v>
      </x:c>
      <x:c r="AH33" s="135" t="n">
        <x:f>IF(33='Assumptions'!$D$37,'Assumptions'!$D$36,0)</x:f>
        <x:v>0</x:v>
      </x:c>
      <x:c r="AI33" s="135" t="n">
        <x:f>IF(34='Assumptions'!$D$37,'Assumptions'!$D$36,0)</x:f>
        <x:v>0</x:v>
      </x:c>
      <x:c r="AJ33" s="135" t="n">
        <x:f>IF(35='Assumptions'!$D$37,'Assumptions'!$D$36,0)</x:f>
        <x:v>0</x:v>
      </x:c>
      <x:c r="AK33" s="135" t="n">
        <x:f>IF(36='Assumptions'!$D$37,'Assumptions'!$D$36,0)</x:f>
        <x:v>0</x:v>
      </x:c>
    </x:row>
    <x:row r="34">
      <x:c r="A34" s="134" t="str">
        <x:v>Ending cash</x:v>
      </x:c>
      <x:c r="B34" s="135" t="n">
        <x:f>'Assumptions'!$D$35+B32+B33</x:f>
        <x:v>46121.2532</x:v>
      </x:c>
      <x:c r="C34" s="135" t="n">
        <x:f>B34+C32+C33</x:f>
        <x:v>42654.393844</x:v>
      </x:c>
      <x:c r="D34" s="135" t="n">
        <x:f>C34+D32+D33</x:f>
        <x:v>39623.737551239996</x:v>
      </x:c>
      <x:c r="E34" s="135" t="n">
        <x:f>D34+E32+E33</x:f>
        <x:v>37057.17294187399</x:v>
      </x:c>
      <x:c r="F34" s="135" t="n">
        <x:f>E34+F32+F33</x:f>
        <x:v>34986.503135630446</x:v>
      </x:c>
      <x:c r="G34" s="135" t="n">
        <x:f>F34+G32+G33</x:f>
        <x:v>33447.82778504426</x:v>
      </x:c>
      <x:c r="H34" s="135" t="n">
        <x:f>G34+H32+H33</x:f>
        <x:v>28481.970065232024</x:v>
      </x:c>
      <x:c r="I34" s="135" t="n">
        <x:f>H34+I32+I33</x:f>
        <x:v>24134.95355831605</x:v>
      </x:c>
      <x:c r="J34" s="135" t="n">
        <x:f>I34+J32+J33</x:f>
        <x:v>20458.534546140203</x:v>
      </x:c>
      <x:c r="K34" s="135" t="n">
        <x:f>J34+K32+K33</x:f>
        <x:v>15010.795866860322</x:v>
      </x:c>
      <x:c r="L34" s="135" t="n">
        <x:f>K34+L32+L33</x:f>
        <x:v>10356.809207157377</x:v>
      </x:c>
      <x:c r="M34" s="135" t="n">
        <x:f>L34+M32+M33</x:f>
        <x:v>6569.373500958896</x:v>
      </x:c>
      <x:c r="N34" s="135" t="n">
        <x:f>M34+N32+N33</x:f>
        <x:v>153729.8379974416</x:v>
      </x:c>
      <x:c r="O34" s="135" t="n">
        <x:f>N34+O32+O33</x:f>
        <x:v>151929.01955665916</x:v>
      </x:c>
      <x:c r="P34" s="135" t="n">
        <x:f>O34+P32+P33</x:f>
        <x:v>151268.22484261976</x:v>
      </x:c>
      <x:c r="Q34" s="135" t="n">
        <x:f>P34+Q32+Q33</x:f>
        <x:v>151860.38932469918</x:v>
      </x:c>
      <x:c r="R34" s="135" t="n">
        <x:f>Q34+R32+R33</x:f>
        <x:v>153831.34638420897</x:v>
      </x:c>
      <x:c r="S34" s="135" t="n">
        <x:f>R34+S32+S33</x:f>
        <x:v>157321.2413708432</x:v>
      </x:c>
      <x:c r="T34" s="135" t="n">
        <x:f>S34+T32+T33</x:f>
        <x:v>162486.10718273182</x:v>
      </x:c>
      <x:c r="U34" s="135" t="n">
        <x:f>T34+U32+U33</x:f>
        <x:v>169499.61987532477</x:v>
      </x:c>
      <x:c r="V34" s="135" t="n">
        <x:f>U34+V32+V33</x:f>
        <x:v>178555.05496225253</x:v>
      </x:c>
      <x:c r="W34" s="135" t="n">
        <x:f>V34+W32+W33</x:f>
        <x:v>189867.46748242606</x:v>
      </x:c>
      <x:c r="X34" s="135" t="n">
        <x:f>W34+X32+X33</x:f>
        <x:v>203676.1216019014</x:v>
      </x:c>
      <x:c r="Y34" s="135" t="n">
        <x:f>X34+Y32+Y33</x:f>
        <x:v>220247.19852994703</x:v>
      </x:c>
      <x:c r="Z34" s="135" t="n">
        <x:f>Y34+Z32+Z33</x:f>
        <x:v>239876.81489380196</x:v>
      </x:c>
      <x:c r="AA34" s="135" t="n">
        <x:f>Z34+AA32+AA33</x:f>
        <x:v>262894.3874777408</x:v>
      </x:c>
      <x:c r="AB34" s="135" t="n">
        <x:f>AA34+AB32+AB33</x:f>
        <x:v>289666.38443619467</x:v>
      </x:c>
      <x:c r="AC34" s="135" t="n">
        <x:f>AB34+AC32+AC33</x:f>
        <x:v>320600.5077903245</x:v>
      </x:c>
      <x:c r="AD34" s="135" t="n">
        <x:f>AC34+AD32+AD33</x:f>
        <x:v>356150.35727135866</x:v>
      </x:c>
      <x:c r="AE34" s="135" t="n">
        <x:f>AD34+AE32+AE33</x:f>
        <x:v>396820.6314479366</x:v>
      </x:c>
      <x:c r="AF34" s="135" t="n">
        <x:f>AE34+AF32+AF33</x:f>
        <x:v>443172.9286422205</x:v>
      </x:c>
      <x:c r="AG34" s="135" t="n">
        <x:f>AF34+AG32+AG33</x:f>
        <x:v>495832.21748297673</x:v>
      </x:c>
      <x:c r="AH34" s="135" t="n">
        <x:f>AG34+AH32+AH33</x:f>
        <x:v>555494.0551553299</x:v>
      </x:c>
      <x:c r="AI34" s="135" t="n">
        <x:f>AH34+AI32+AI33</x:f>
        <x:v>622932.6405895733</x:v>
      </x:c>
      <x:c r="AJ34" s="135" t="n">
        <x:f>AI34+AJ32+AJ33</x:f>
        <x:v>699009.8001006811</x:v>
      </x:c>
      <x:c r="AK34" s="135" t="n">
        <x:f>AJ34+AK32+AK33</x:f>
        <x:v>784685.0144751715</x:v>
      </x:c>
    </x:row>
    <x:row r="35">
      <x:c r="A35" s="134"/>
      <x:c r="B35" s="134"/>
      <x:c r="C35" s="134"/>
      <x:c r="D35" s="134"/>
      <x:c r="E35" s="134"/>
      <x:c r="F35" s="134"/>
      <x:c r="G35" s="134"/>
      <x:c r="H35" s="134"/>
      <x:c r="I35" s="134"/>
      <x:c r="J35" s="134"/>
      <x:c r="K35" s="134"/>
      <x:c r="L35" s="134"/>
      <x:c r="M35" s="134"/>
      <x:c r="N35" s="134"/>
      <x:c r="O35" s="134"/>
      <x:c r="P35" s="134"/>
      <x:c r="Q35" s="134"/>
      <x:c r="R35" s="134"/>
      <x:c r="S35" s="134"/>
      <x:c r="T35" s="134"/>
      <x:c r="U35" s="134"/>
      <x:c r="V35" s="134"/>
      <x:c r="W35" s="134"/>
      <x:c r="X35" s="134"/>
      <x:c r="Y35" s="134"/>
      <x:c r="Z35" s="134"/>
      <x:c r="AA35" s="134"/>
      <x:c r="AB35" s="134"/>
      <x:c r="AC35" s="134"/>
      <x:c r="AD35" s="134"/>
      <x:c r="AE35" s="134"/>
      <x:c r="AF35" s="134"/>
      <x:c r="AG35" s="134"/>
      <x:c r="AH35" s="134"/>
      <x:c r="AI35" s="134"/>
      <x:c r="AJ35" s="134"/>
      <x:c r="AK35" s="134"/>
    </x:row>
    <x:row r="36">
      <x:c r="A36" s="134"/>
      <x:c r="B36" s="134"/>
      <x:c r="C36" s="134"/>
      <x:c r="D36" s="134"/>
      <x:c r="E36" s="134"/>
      <x:c r="F36" s="134"/>
      <x:c r="G36" s="134"/>
      <x:c r="H36" s="134"/>
      <x:c r="I36" s="134"/>
      <x:c r="J36" s="134"/>
      <x:c r="K36" s="134"/>
      <x:c r="L36" s="134"/>
      <x:c r="M36" s="134"/>
      <x:c r="N36" s="134"/>
      <x:c r="O36" s="134"/>
      <x:c r="P36" s="134"/>
      <x:c r="Q36" s="134"/>
      <x:c r="R36" s="134"/>
      <x:c r="S36" s="134"/>
      <x:c r="T36" s="134"/>
      <x:c r="U36" s="134"/>
      <x:c r="V36" s="134"/>
      <x:c r="W36" s="134"/>
      <x:c r="X36" s="134"/>
      <x:c r="Y36" s="134"/>
      <x:c r="Z36" s="134"/>
      <x:c r="AA36" s="134"/>
      <x:c r="AB36" s="134"/>
      <x:c r="AC36" s="134"/>
      <x:c r="AD36" s="134"/>
      <x:c r="AE36" s="134"/>
      <x:c r="AF36" s="134"/>
      <x:c r="AG36" s="134"/>
      <x:c r="AH36" s="134"/>
      <x:c r="AI36" s="134"/>
      <x:c r="AJ36" s="134"/>
      <x:c r="AK36" s="134"/>
    </x:row>
    <x:row r="37">
      <x:c r="A37" s="134"/>
      <x:c r="B37" s="134"/>
      <x:c r="C37" s="134"/>
      <x:c r="D37" s="134"/>
      <x:c r="E37" s="134"/>
      <x:c r="F37" s="134"/>
      <x:c r="G37" s="134"/>
      <x:c r="H37" s="134"/>
      <x:c r="I37" s="134"/>
      <x:c r="J37" s="134"/>
      <x:c r="K37" s="134"/>
      <x:c r="L37" s="134"/>
      <x:c r="M37" s="134"/>
      <x:c r="N37" s="134"/>
      <x:c r="O37" s="134"/>
      <x:c r="P37" s="134"/>
      <x:c r="Q37" s="134"/>
      <x:c r="R37" s="134"/>
      <x:c r="S37" s="134"/>
      <x:c r="T37" s="134"/>
      <x:c r="U37" s="134"/>
      <x:c r="V37" s="134"/>
      <x:c r="W37" s="134"/>
      <x:c r="X37" s="134"/>
      <x:c r="Y37" s="134"/>
      <x:c r="Z37" s="134"/>
      <x:c r="AA37" s="134"/>
      <x:c r="AB37" s="134"/>
      <x:c r="AC37" s="134"/>
      <x:c r="AD37" s="134"/>
      <x:c r="AE37" s="134"/>
      <x:c r="AF37" s="134"/>
      <x:c r="AG37" s="134"/>
      <x:c r="AH37" s="134"/>
      <x:c r="AI37" s="134"/>
      <x:c r="AJ37" s="134"/>
      <x:c r="AK37" s="134"/>
    </x:row>
    <x:row r="38">
      <x:c r="A38" s="134"/>
      <x:c r="B38" s="134"/>
      <x:c r="C38" s="134"/>
      <x:c r="D38" s="134"/>
      <x:c r="E38" s="134"/>
      <x:c r="F38" s="134"/>
      <x:c r="G38" s="134"/>
      <x:c r="H38" s="134"/>
      <x:c r="I38" s="134"/>
      <x:c r="J38" s="134"/>
      <x:c r="K38" s="134"/>
      <x:c r="L38" s="134"/>
      <x:c r="M38" s="134"/>
      <x:c r="N38" s="134"/>
      <x:c r="O38" s="134"/>
      <x:c r="P38" s="134"/>
      <x:c r="Q38" s="134"/>
      <x:c r="R38" s="134"/>
      <x:c r="S38" s="134"/>
      <x:c r="T38" s="134"/>
      <x:c r="U38" s="134"/>
      <x:c r="V38" s="134"/>
      <x:c r="W38" s="134"/>
      <x:c r="X38" s="134"/>
      <x:c r="Y38" s="134"/>
      <x:c r="Z38" s="134"/>
      <x:c r="AA38" s="134"/>
      <x:c r="AB38" s="134"/>
      <x:c r="AC38" s="134"/>
      <x:c r="AD38" s="134"/>
      <x:c r="AE38" s="134"/>
      <x:c r="AF38" s="134"/>
      <x:c r="AG38" s="134"/>
      <x:c r="AH38" s="134"/>
      <x:c r="AI38" s="134"/>
      <x:c r="AJ38" s="134"/>
      <x:c r="AK38" s="134"/>
    </x:row>
    <x:row r="39">
      <x:c r="A39" s="134"/>
      <x:c r="B39" s="134"/>
      <x:c r="C39" s="134"/>
      <x:c r="D39" s="134"/>
      <x:c r="E39" s="134"/>
      <x:c r="F39" s="134"/>
      <x:c r="G39" s="134"/>
      <x:c r="H39" s="134"/>
      <x:c r="I39" s="134"/>
      <x:c r="J39" s="134"/>
      <x:c r="K39" s="134"/>
      <x:c r="L39" s="134"/>
      <x:c r="M39" s="134"/>
      <x:c r="N39" s="134"/>
      <x:c r="O39" s="134"/>
      <x:c r="P39" s="134"/>
      <x:c r="Q39" s="134"/>
      <x:c r="R39" s="134"/>
      <x:c r="S39" s="134"/>
      <x:c r="T39" s="134"/>
      <x:c r="U39" s="134"/>
      <x:c r="V39" s="134"/>
      <x:c r="W39" s="134"/>
      <x:c r="X39" s="134"/>
      <x:c r="Y39" s="134"/>
      <x:c r="Z39" s="134"/>
      <x:c r="AA39" s="134"/>
      <x:c r="AB39" s="134"/>
      <x:c r="AC39" s="134"/>
      <x:c r="AD39" s="134"/>
      <x:c r="AE39" s="134"/>
      <x:c r="AF39" s="134"/>
      <x:c r="AG39" s="134"/>
      <x:c r="AH39" s="134"/>
      <x:c r="AI39" s="134"/>
      <x:c r="AJ39" s="134"/>
      <x:c r="AK39" s="134"/>
    </x:row>
    <x:row r="40">
      <x:c r="A40" s="134"/>
      <x:c r="B40" s="134"/>
      <x:c r="C40" s="134"/>
      <x:c r="D40" s="134"/>
      <x:c r="E40" s="134"/>
      <x:c r="F40" s="134"/>
      <x:c r="G40" s="134"/>
      <x:c r="H40" s="134"/>
      <x:c r="I40" s="134"/>
      <x:c r="J40" s="134"/>
      <x:c r="K40" s="134"/>
      <x:c r="L40" s="134"/>
      <x:c r="M40" s="134"/>
      <x:c r="N40" s="134"/>
      <x:c r="O40" s="134"/>
      <x:c r="P40" s="134"/>
      <x:c r="Q40" s="134"/>
      <x:c r="R40" s="134"/>
      <x:c r="S40" s="134"/>
      <x:c r="T40" s="134"/>
      <x:c r="U40" s="134"/>
      <x:c r="V40" s="134"/>
      <x:c r="W40" s="134"/>
      <x:c r="X40" s="134"/>
      <x:c r="Y40" s="134"/>
      <x:c r="Z40" s="134"/>
      <x:c r="AA40" s="134"/>
      <x:c r="AB40" s="134"/>
      <x:c r="AC40" s="134"/>
      <x:c r="AD40" s="134"/>
      <x:c r="AE40" s="134"/>
      <x:c r="AF40" s="134"/>
      <x:c r="AG40" s="134"/>
      <x:c r="AH40" s="134"/>
      <x:c r="AI40" s="134"/>
      <x:c r="AJ40" s="134"/>
      <x:c r="AK40" s="134"/>
    </x:row>
    <x:row r="41">
      <x:c r="A41" s="134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34"/>
      <x:c r="L41" s="134"/>
      <x:c r="M41" s="134"/>
      <x:c r="N41" s="134"/>
      <x:c r="O41" s="134"/>
      <x:c r="P41" s="134"/>
      <x:c r="Q41" s="134"/>
      <x:c r="R41" s="134"/>
      <x:c r="S41" s="134"/>
      <x:c r="T41" s="134"/>
      <x:c r="U41" s="134"/>
      <x:c r="V41" s="134"/>
      <x:c r="W41" s="134"/>
      <x:c r="X41" s="134"/>
      <x:c r="Y41" s="134"/>
      <x:c r="Z41" s="134"/>
      <x:c r="AA41" s="134"/>
      <x:c r="AB41" s="134"/>
      <x:c r="AC41" s="134"/>
      <x:c r="AD41" s="134"/>
      <x:c r="AE41" s="134"/>
      <x:c r="AF41" s="134"/>
      <x:c r="AG41" s="134"/>
      <x:c r="AH41" s="134"/>
      <x:c r="AI41" s="134"/>
      <x:c r="AJ41" s="134"/>
      <x:c r="AK41" s="134"/>
    </x:row>
    <x:row r="42">
      <x:c r="A42" s="228" t="str">
        <x:v>Month</x:v>
      </x:c>
      <x:c r="B42" s="228" t="n">
        <x:v>46235</x:v>
      </x:c>
      <x:c r="C42" s="228" t="n">
        <x:v>46266</x:v>
      </x:c>
      <x:c r="D42" s="228" t="n">
        <x:v>46296</x:v>
      </x:c>
      <x:c r="E42" s="228" t="n">
        <x:v>46327</x:v>
      </x:c>
      <x:c r="F42" s="228" t="n">
        <x:v>46357</x:v>
      </x:c>
      <x:c r="G42" s="228" t="n">
        <x:v>46388</x:v>
      </x:c>
      <x:c r="H42" s="228" t="n">
        <x:v>46419</x:v>
      </x:c>
      <x:c r="I42" s="228" t="n">
        <x:v>46447</x:v>
      </x:c>
      <x:c r="J42" s="228" t="n">
        <x:v>46478</x:v>
      </x:c>
      <x:c r="K42" s="228" t="n">
        <x:v>46508</x:v>
      </x:c>
      <x:c r="L42" s="228" t="n">
        <x:v>46539</x:v>
      </x:c>
      <x:c r="M42" s="228" t="n">
        <x:v>46569</x:v>
      </x:c>
      <x:c r="N42" s="228" t="n">
        <x:v>46600</x:v>
      </x:c>
      <x:c r="O42" s="228" t="n">
        <x:v>46631</x:v>
      </x:c>
      <x:c r="P42" s="228" t="n">
        <x:v>46661</x:v>
      </x:c>
      <x:c r="Q42" s="228" t="n">
        <x:v>46692</x:v>
      </x:c>
      <x:c r="R42" s="228" t="n">
        <x:v>46722</x:v>
      </x:c>
      <x:c r="S42" s="228" t="n">
        <x:v>46753</x:v>
      </x:c>
      <x:c r="T42" s="228" t="n">
        <x:v>46784</x:v>
      </x:c>
      <x:c r="U42" s="228" t="n">
        <x:v>46813</x:v>
      </x:c>
      <x:c r="V42" s="228" t="n">
        <x:v>46844</x:v>
      </x:c>
      <x:c r="W42" s="228" t="n">
        <x:v>46874</x:v>
      </x:c>
      <x:c r="X42" s="228" t="n">
        <x:v>46905</x:v>
      </x:c>
      <x:c r="Y42" s="228" t="n">
        <x:v>46935</x:v>
      </x:c>
      <x:c r="Z42" s="228" t="n">
        <x:v>46966</x:v>
      </x:c>
      <x:c r="AA42" s="228" t="n">
        <x:v>46997</x:v>
      </x:c>
      <x:c r="AB42" s="228" t="n">
        <x:v>47027</x:v>
      </x:c>
      <x:c r="AC42" s="228" t="n">
        <x:v>47058</x:v>
      </x:c>
      <x:c r="AD42" s="228" t="n">
        <x:v>47088</x:v>
      </x:c>
      <x:c r="AE42" s="228" t="n">
        <x:v>47119</x:v>
      </x:c>
      <x:c r="AF42" s="228" t="n">
        <x:v>47150</x:v>
      </x:c>
      <x:c r="AG42" s="228" t="n">
        <x:v>47178</x:v>
      </x:c>
      <x:c r="AH42" s="228" t="n">
        <x:v>47209</x:v>
      </x:c>
      <x:c r="AI42" s="228" t="n">
        <x:v>47239</x:v>
      </x:c>
      <x:c r="AJ42" s="228" t="n">
        <x:v>47270</x:v>
      </x:c>
      <x:c r="AK42" s="228" t="n">
        <x:v>47300</x:v>
      </x:c>
    </x:row>
    <x:row r="43">
      <x:c r="A43" s="134" t="str">
        <x:v>Paid individuals</x:v>
      </x:c>
      <x:c r="B43" s="153" t="n">
        <x:f>('Assumptions'!$E$7*'Assumptions'!$E$9*'Assumptions'!$E$10)</x:f>
        <x:v>24</x:v>
      </x:c>
      <x:c r="C43" s="153" t="n">
        <x:f>B43*(1-'Assumptions'!$E$11)+'Assumptions'!$E$7*(1+'Assumptions'!$E$8)^(2-1)*'Assumptions'!$E$9*'Assumptions'!$E$10</x:f>
        <x:v>51.36</x:v>
      </x:c>
      <x:c r="D43" s="153" t="n">
        <x:f>C43*(1-'Assumptions'!$E$11)+'Assumptions'!$E$7*(1+'Assumptions'!$E$8)^(3-1)*'Assumptions'!$E$9*'Assumptions'!$E$10</x:f>
        <x:v>82.72319999999999</x:v>
      </x:c>
      <x:c r="E43" s="153" t="n">
        <x:f>D43*(1-'Assumptions'!$E$11)+'Assumptions'!$E$7*(1+'Assumptions'!$E$8)^(4-1)*'Assumptions'!$E$9*'Assumptions'!$E$10</x:f>
        <x:v>118.84703999999998</x:v>
      </x:c>
      <x:c r="F43" s="153" t="n">
        <x:f>E43*(1-'Assumptions'!$E$11)+'Assumptions'!$E$7*(1+'Assumptions'!$E$8)^(5-1)*'Assumptions'!$E$9*'Assumptions'!$E$10</x:f>
        <x:v>160.62382463999998</x:v>
      </x:c>
      <x:c r="G43" s="153" t="n">
        <x:f>F43*(1-'Assumptions'!$E$11)+'Assumptions'!$E$7*(1+'Assumptions'!$E$8)^(6-1)*'Assumptions'!$E$9*'Assumptions'!$E$10</x:f>
        <x:v>209.10505781759997</x:v>
      </x:c>
      <x:c r="H43" s="153" t="n">
        <x:f>G43*(1-'Assumptions'!$E$11)+'Assumptions'!$E$7*(1+'Assumptions'!$E$8)^(7-1)*'Assumptions'!$E$9*'Assumptions'!$E$10</x:f>
        <x:v>265.53015517747195</x:v>
      </x:c>
      <x:c r="I43" s="153" t="n">
        <x:f>H43*(1-'Assumptions'!$E$11)+'Assumptions'!$E$7*(1+'Assumptions'!$E$8)^(8-1)*'Assumptions'!$E$9*'Assumptions'!$E$10</x:f>
        <x:v>331.36032258401275</x:v>
      </x:c>
      <x:c r="J43" s="153" t="n">
        <x:f>I43*(1-'Assumptions'!$E$11)+'Assumptions'!$E$7*(1+'Assumptions'!$E$8)^(9-1)*'Assumptions'!$E$9*'Assumptions'!$E$10</x:f>
        <x:v>408.31853054474703</x:v>
      </x:c>
      <x:c r="K43" s="153" t="n">
        <x:f>J43*(1-'Assumptions'!$E$11)+'Assumptions'!$E$7*(1+'Assumptions'!$E$8)^(10-1)*'Assumptions'!$E$9*'Assumptions'!$E$10</x:f>
        <x:v>498.436681942589</x:v>
      </x:c>
      <x:c r="L43" s="153" t="n">
        <x:f>K43*(1-'Assumptions'!$E$11)+'Assumptions'!$E$7*(1+'Assumptions'!$E$8)^(11-1)*'Assumptions'!$E$9*'Assumptions'!$E$10</x:f>
        <x:v>604.111267956051</x:v>
      </x:c>
      <x:c r="M43" s="153" t="n">
        <x:f>L43*(1-'Assumptions'!$E$11)+'Assumptions'!$E$7*(1+'Assumptions'!$E$8)^(12-1)*'Assumptions'!$E$9*'Assumptions'!$E$10</x:f>
        <x:v>728.1690401213843</x:v>
      </x:c>
      <x:c r="N43" s="153" t="n">
        <x:f>M43*(1-'Assumptions'!$E$11)+'Assumptions'!$E$7*(1+'Assumptions'!$E$8)^(13-1)*'Assumptions'!$E$9*'Assumptions'!$E$10</x:f>
        <x:v>873.9445015191479</x:v>
      </x:c>
      <x:c r="O43" s="153" t="n">
        <x:f>N43*(1-'Assumptions'!$E$11)+'Assumptions'!$E$7*(1+'Assumptions'!$E$8)^(14-1)*'Assumptions'!$E$9*'Assumptions'!$E$10</x:f>
        <x:v>1045.3713446014724</x:v>
      </x:c>
      <x:c r="P43" s="153" t="n">
        <x:f>O43*(1-'Assumptions'!$E$11)+'Assumptions'!$E$7*(1+'Assumptions'!$E$8)^(15-1)*'Assumptions'!$E$9*'Assumptions'!$E$10</x:f>
        <x:v>1247.0903461262599</x:v>
      </x:c>
      <x:c r="Q43" s="153" t="n">
        <x:f>P43*(1-'Assumptions'!$E$11)+'Assumptions'!$E$7*(1+'Assumptions'!$E$8)^(16-1)*'Assumptions'!$E$9*'Assumptions'!$E$10</x:f>
        <x:v>1484.5766815456484</x:v>
      </x:c>
      <x:c r="R43" s="153" t="n">
        <x:f>Q43*(1-'Assumptions'!$E$11)+'Assumptions'!$E$7*(1+'Assumptions'!$E$8)^(17-1)*'Assumptions'!$E$9*'Assumptions'!$E$10</x:f>
        <x:v>1764.2901544158603</x:v>
      </x:c>
      <x:c r="S43" s="153" t="n">
        <x:f>R43*(1-'Assumptions'!$E$11)+'Assumptions'!$E$7*(1+'Assumptions'!$E$8)^(18-1)*'Assumptions'!$E$9*'Assumptions'!$E$10</x:f>
        <x:v>2093.8524655950305</x:v>
      </x:c>
      <x:c r="T43" s="153" t="n">
        <x:f>S43*(1-'Assumptions'!$E$11)+'Assumptions'!$E$7*(1+'Assumptions'!$E$8)^(19-1)*'Assumptions'!$E$9*'Assumptions'!$E$10</x:f>
        <x:v>2482.2563894510786</x:v>
      </x:c>
      <x:c r="U43" s="153" t="n">
        <x:f>T43*(1-'Assumptions'!$E$11)+'Assumptions'!$E$7*(1+'Assumptions'!$E$8)^(20-1)*'Assumptions'!$E$9*'Assumptions'!$E$10</x:f>
        <x:v>2940.1126003992576</x:v>
      </x:c>
      <x:c r="V43" s="153" t="n">
        <x:f>U43*(1-'Assumptions'!$E$11)+'Assumptions'!$E$7*(1+'Assumptions'!$E$8)^(21-1)*'Assumptions'!$E$9*'Assumptions'!$E$10</x:f>
        <x:v>3479.9409268842296</x:v>
      </x:c>
      <x:c r="W43" s="153" t="n">
        <x:f>V43*(1-'Assumptions'!$E$11)+'Assumptions'!$E$7*(1+'Assumptions'!$E$8)^(22-1)*'Assumptions'!$E$9*'Assumptions'!$E$10</x:f>
        <x:v>4116.514029799972</x:v>
      </x:c>
      <x:c r="X43" s="153" t="n">
        <x:f>W43*(1-'Assumptions'!$E$11)+'Assumptions'!$E$7*(1+'Assumptions'!$E$8)^(23-1)*'Assumptions'!$E$9*'Assumptions'!$E$10</x:f>
        <x:v>4867.262941797486</x:v>
      </x:c>
      <x:c r="Y43" s="153" t="n">
        <x:f>X43*(1-'Assumptions'!$E$11)+'Assumptions'!$E$7*(1+'Assumptions'!$E$8)^(24-1)*'Assumptions'!$E$9*'Assumptions'!$E$10</x:f>
        <x:v>5752.755602489211</x:v>
      </x:c>
      <x:c r="Z43" s="153" t="n">
        <x:f>Y43*(1-'Assumptions'!$E$11)+'Assumptions'!$E$7*(1+'Assumptions'!$E$8)^(25-1)*'Assumptions'!$E$9*'Assumptions'!$E$10</x:f>
        <x:v>6797.2615288587185</x:v>
      </x:c>
      <x:c r="AA43" s="153" t="n">
        <x:f>Z43*(1-'Assumptions'!$E$11)+'Assumptions'!$E$7*(1+'Assumptions'!$E$8)^(26-1)*'Assumptions'!$E$9*'Assumptions'!$E$10</x:f>
        <x:v>8029.418125257879</x:v>
      </x:c>
      <x:c r="AB43" s="153" t="n">
        <x:f>AA43*(1-'Assumptions'!$E$11)+'Assumptions'!$E$7*(1+'Assumptions'!$E$8)^(27-1)*'Assumptions'!$E$9*'Assumptions'!$E$10</x:f>
        <x:v>9483.016928160705</x:v>
      </x:c>
      <x:c r="AC43" s="153" t="n">
        <x:f>AB43*(1-'Assumptions'!$E$11)+'Assumptions'!$E$7*(1+'Assumptions'!$E$8)^(28-1)*'Assumptions'!$E$9*'Assumptions'!$E$10</x:f>
        <x:v>11197.931373971784</x:v>
      </x:c>
      <x:c r="AD43" s="153" t="n">
        <x:f>AC43*(1-'Assumptions'!$E$11)+'Assumptions'!$E$7*(1+'Assumptions'!$E$8)^(29-1)*'Assumptions'!$E$9*'Assumptions'!$E$10</x:f>
        <x:v>13221.21156407917</x:v>
      </x:c>
      <x:c r="AE43" s="153" t="n">
        <x:f>AD43*(1-'Assumptions'!$E$11)+'Assumptions'!$E$7*(1+'Assumptions'!$E$8)^(30-1)*'Assumptions'!$E$9*'Assumptions'!$E$10</x:f>
        <x:v>15608.376086694188</x:v>
      </x:c>
      <x:c r="AF43" s="153" t="n">
        <x:f>AE43*(1-'Assumptions'!$E$11)+'Assumptions'!$E$7*(1+'Assumptions'!$E$8)^(31-1)*'Assumptions'!$E$9*'Assumptions'!$E$10</x:f>
        <x:v>18424.936365736678</x:v>
      </x:c>
      <x:c r="AG43" s="153" t="n">
        <x:f>AF43*(1-'Assumptions'!$E$11)+'Assumptions'!$E$7*(1+'Assumptions'!$E$8)^(32-1)*'Assumptions'!$E$9*'Assumptions'!$E$10</x:f>
        <x:v>21748.195391669313</x:v>
      </x:c>
      <x:c r="AH43" s="153" t="n">
        <x:f>AG43*(1-'Assumptions'!$E$11)+'Assumptions'!$E$7*(1+'Assumptions'!$E$8)^(33-1)*'Assumptions'!$E$9*'Assumptions'!$E$10</x:f>
        <x:v>25669.370223065824</x:v>
      </x:c>
      <x:c r="AI43" s="153" t="n">
        <x:f>AH43*(1-'Assumptions'!$E$11)+'Assumptions'!$E$7*(1+'Assumptions'!$E$8)^(34-1)*'Assumptions'!$E$9*'Assumptions'!$E$10</x:f>
        <x:v>30296.096537677862</x:v>
      </x:c>
      <x:c r="AJ43" s="153" t="n">
        <x:f>AI43*(1-'Assumptions'!$E$11)+'Assumptions'!$E$7*(1+'Assumptions'!$E$8)^(35-1)*'Assumptions'!$E$9*'Assumptions'!$E$10</x:f>
        <x:v>35755.38400194166</x:v>
      </x:c>
      <x:c r="AK43" s="153" t="n">
        <x:f>AJ43*(1-'Assumptions'!$E$11)+'Assumptions'!$E$7*(1+'Assumptions'!$E$8)^(36-1)*'Assumptions'!$E$9*'Assumptions'!$E$10</x:f>
        <x:v>42197.103606273675</x:v>
      </x:c>
    </x:row>
    <x:row r="44">
      <x:c r="A44" s="134" t="str">
        <x:v>B2B programs</x:v>
      </x:c>
      <x:c r="B44" s="153" t="n">
        <x:f>('Assumptions'!$E$12*'Assumptions'!$E$14)</x:f>
        <x:v>3</x:v>
      </x:c>
      <x:c r="C44" s="153" t="n">
        <x:f>B44*(1-'Assumptions'!$E$15)+'Assumptions'!$E$12*(1+'Assumptions'!$E$13)^(2-1)*'Assumptions'!$E$14</x:f>
        <x:v>6.300000000000001</x:v>
      </x:c>
      <x:c r="D44" s="153" t="n">
        <x:f>C44*(1-'Assumptions'!$E$15)+'Assumptions'!$E$12*(1+'Assumptions'!$E$13)^(3-1)*'Assumptions'!$E$14</x:f>
        <x:v>9.9372</x:v>
      </x:c>
      <x:c r="E44" s="153" t="n">
        <x:f>D44*(1-'Assumptions'!$E$15)+'Assumptions'!$E$12*(1+'Assumptions'!$E$13)^(4-1)*'Assumptions'!$E$14</x:f>
        <x:v>13.953240000000003</x:v>
      </x:c>
      <x:c r="F44" s="153" t="n">
        <x:f>E44*(1-'Assumptions'!$E$15)+'Assumptions'!$E$12*(1+'Assumptions'!$E$13)^(5-1)*'Assumptions'!$E$14</x:f>
        <x:v>18.394733280000004</x:v>
      </x:c>
      <x:c r="G44" s="153" t="n">
        <x:f>F44*(1-'Assumptions'!$E$15)+'Assumptions'!$E$12*(1+'Assumptions'!$E$13)^(6-1)*'Assumptions'!$E$14</x:f>
        <x:v>23.313863664000003</x:v>
      </x:c>
      <x:c r="H44" s="153" t="n">
        <x:f>G44*(1-'Assumptions'!$E$15)+'Assumptions'!$E$12*(1+'Assumptions'!$E$13)^(7-1)*'Assumptions'!$E$14</x:f>
        <x:v>28.76905444627201</x:v>
      </x:c>
      <x:c r="I44" s="153" t="n">
        <x:f>H44*(1-'Assumptions'!$E$15)+'Assumptions'!$E$12*(1+'Assumptions'!$E$13)^(8-1)*'Assumptions'!$E$14</x:f>
        <x:v>34.82571757956481</x:v>
      </x:c>
      <x:c r="J44" s="153" t="n">
        <x:f>I44*(1-'Assumptions'!$E$15)+'Assumptions'!$E$12*(1+'Assumptions'!$E$13)^(9-1)*'Assumptions'!$E$14</x:f>
        <x:v>41.55709275685795</x:v>
      </x:c>
      <x:c r="K44" s="153" t="n">
        <x:f>J44*(1-'Assumptions'!$E$15)+'Assumptions'!$E$12*(1+'Assumptions'!$E$13)^(10-1)*'Assumptions'!$E$14</x:f>
        <x:v>49.04518717407135</x:v>
      </x:c>
      <x:c r="L44" s="153" t="n">
        <x:f>K44*(1-'Assumptions'!$E$15)+'Assumptions'!$E$12*(1+'Assumptions'!$E$13)^(11-1)*'Assumptions'!$E$14</x:f>
        <x:v>57.38182805562256</x:v>
      </x:c>
      <x:c r="M44" s="153" t="n">
        <x:f>L44*(1-'Assumptions'!$E$15)+'Assumptions'!$E$12*(1+'Assumptions'!$E$13)^(12-1)*'Assumptions'!$E$14</x:f>
        <x:v>66.66984147454667</x:v>
      </x:c>
      <x:c r="N44" s="153" t="n">
        <x:f>M44*(1-'Assumptions'!$E$15)+'Assumptions'!$E$12*(1+'Assumptions'!$E$13)^(13-1)*'Assumptions'!$E$14</x:f>
        <x:v>77.02437262269667</x:v>
      </x:c>
      <x:c r="O44" s="153" t="n">
        <x:f>N44*(1-'Assumptions'!$E$15)+'Assumptions'!$E$12*(1+'Assumptions'!$E$13)^(14-1)*'Assumptions'!$E$14</x:f>
        <x:v>88.5743645052006</x:v>
      </x:c>
      <x:c r="P44" s="153" t="n">
        <x:f>O44*(1-'Assumptions'!$E$15)+'Assumptions'!$E$12*(1+'Assumptions'!$E$13)^(15-1)*'Assumptions'!$E$14</x:f>
        <x:v>101.46421407024938</x:v>
      </x:c>
      <x:c r="Q44" s="153" t="n">
        <x:f>P44*(1-'Assumptions'!$E$15)+'Assumptions'!$E$12*(1+'Assumptions'!$E$13)^(16-1)*'Assumptions'!$E$14</x:f>
        <x:v>115.85562706661554</x:v>
      </x:c>
      <x:c r="R44" s="153" t="n">
        <x:f>Q44*(1-'Assumptions'!$E$15)+'Assumptions'!$E$12*(1+'Assumptions'!$E$13)^(17-1)*'Assumptions'!$E$14</x:f>
        <x:v>131.9296954763869</x:v>
      </x:c>
      <x:c r="S44" s="153" t="n">
        <x:f>R44*(1-'Assumptions'!$E$15)+'Assumptions'!$E$12*(1+'Assumptions'!$E$13)^(18-1)*'Assumptions'!$E$14</x:f>
        <x:v>149.88922423209527</x:v>
      </x:c>
      <x:c r="T44" s="153" t="n">
        <x:f>S44*(1-'Assumptions'!$E$15)+'Assumptions'!$E$12*(1+'Assumptions'!$E$13)^(19-1)*'Assumptions'!$E$14</x:f>
        <x:v>169.96133713251783</x:v>
      </x:c>
      <x:c r="U44" s="153" t="n">
        <x:f>T44*(1-'Assumptions'!$E$15)+'Assumptions'!$E$12*(1+'Assumptions'!$E$13)^(20-1)*'Assumptions'!$E$14</x:f>
        <x:v>192.40039546113965</x:v>
      </x:c>
      <x:c r="V44" s="153" t="n">
        <x:f>U44*(1-'Assumptions'!$E$15)+'Assumptions'!$E$12*(1+'Assumptions'!$E$13)^(21-1)*'Assumptions'!$E$14</x:f>
        <x:v>217.4912668317417</x:v>
      </x:c>
      <x:c r="W44" s="153" t="n">
        <x:f>V44*(1-'Assumptions'!$E$15)+'Assumptions'!$E$12*(1+'Assumptions'!$E$13)^(22-1)*'Assumptions'!$E$14</x:f>
        <x:v>245.55298628851074</x:v>
      </x:c>
      <x:c r="X44" s="153" t="n">
        <x:f>W44*(1-'Assumptions'!$E$15)+'Assumptions'!$E$12*(1+'Assumptions'!$E$13)^(23-1)*'Assumptions'!$E$14</x:f>
        <x:v>276.94285673135283</x:v>
      </x:c>
      <x:c r="Y44" s="153" t="n">
        <x:f>X44*(1-'Assumptions'!$E$15)+'Assumptions'!$E$12*(1+'Assumptions'!$E$13)^(24-1)*'Assumptions'!$E$14</x:f>
        <x:v>312.06104138557157</x:v>
      </x:c>
      <x:c r="Z44" s="153" t="n">
        <x:f>Y44*(1-'Assumptions'!$E$15)+'Assumptions'!$E$12*(1+'Assumptions'!$E$13)^(25-1)*'Assumptions'!$E$14</x:f>
        <x:v>351.3557073613674</x:v>
      </x:c>
      <x:c r="AA44" s="153" t="n">
        <x:f>Z44*(1-'Assumptions'!$E$15)+'Assumptions'!$E$12*(1+'Assumptions'!$E$13)^(26-1)*'Assumptions'!$E$14</x:f>
        <x:v>395.32878643406826</x:v>
      </x:c>
      <x:c r="AB44" s="153" t="n">
        <x:f>AA44*(1-'Assumptions'!$E$15)+'Assumptions'!$E$12*(1+'Assumptions'!$E$13)^(27-1)*'Assumptions'!$E$14</x:f>
        <x:v>444.54242711170644</x:v>
      </x:c>
      <x:c r="AC44" s="153" t="n">
        <x:f>AB44*(1-'Assumptions'!$E$15)+'Assumptions'!$E$12*(1+'Assumptions'!$E$13)^(28-1)*'Assumptions'!$E$14</x:f>
        <x:v>499.6262209445502</x:v>
      </x:c>
      <x:c r="AD44" s="153" t="n">
        <x:f>AC44*(1-'Assumptions'!$E$15)+'Assumptions'!$E$12*(1+'Assumptions'!$E$13)^(29-1)*'Assumptions'!$E$14</x:f>
        <x:v>561.2852959857464</x:v>
      </x:c>
      <x:c r="AE44" s="153" t="n">
        <x:f>AD44*(1-'Assumptions'!$E$15)+'Assumptions'!$E$12*(1+'Assumptions'!$E$13)^(30-1)*'Assumptions'!$E$14</x:f>
        <x:v>630.3093814613292</x:v>
      </x:c>
      <x:c r="AF44" s="153" t="n">
        <x:f>AE44*(1-'Assumptions'!$E$15)+'Assumptions'!$E$12*(1+'Assumptions'!$E$13)^(31-1)*'Assumptions'!$E$14</x:f>
        <x:v>707.582960194836</x:v>
      </x:c>
      <x:c r="AG44" s="153" t="n">
        <x:f>AF44*(1-'Assumptions'!$E$15)+'Assumptions'!$E$12*(1+'Assumptions'!$E$13)^(32-1)*'Assumptions'!$E$14</x:f>
        <x:v>794.0966393172007</x:v>
      </x:c>
      <x:c r="AH44" s="153" t="n">
        <x:f>AG44*(1-'Assumptions'!$E$15)+'Assumptions'!$E$12*(1+'Assumptions'!$E$13)^(33-1)*'Assumptions'!$E$14</x:f>
        <x:v>890.9598854562696</x:v>
      </x:c>
      <x:c r="AI44" s="153" t="n">
        <x:f>AH44*(1-'Assumptions'!$E$15)+'Assumptions'!$E$12*(1+'Assumptions'!$E$13)^(34-1)*'Assumptions'!$E$14</x:f>
        <x:v>999.4152881436066</x:v>
      </x:c>
      <x:c r="AJ44" s="153" t="n">
        <x:f>AI44*(1-'Assumptions'!$E$15)+'Assumptions'!$E$12*(1+'Assumptions'!$E$13)^(35-1)*'Assumptions'!$E$14</x:f>
        <x:v>1120.8545348247724</x:v>
      </x:c>
      <x:c r="AK44" s="153" t="n">
        <x:f>AJ44*(1-'Assumptions'!$E$15)+'Assumptions'!$E$12*(1+'Assumptions'!$E$13)^(36-1)*'Assumptions'!$E$14</x:f>
        <x:v>1256.8363028655995</x:v>
      </x:c>
    </x:row>
    <x:row r="45">
      <x:c r="A45" s="134" t="str">
        <x:v>Revenue</x:v>
      </x:c>
      <x:c r="B45" s="135" t="n">
        <x:f>B43*'Assumptions'!$E$17+B44*'Assumptions'!$E$18</x:f>
        <x:v>1743</x:v>
      </x:c>
      <x:c r="C45" s="135" t="n">
        <x:f>C43*'Assumptions'!$E$17+C44*'Assumptions'!$E$18</x:f>
        <x:v>3688.1400000000003</x:v>
      </x:c>
      <x:c r="D45" s="135" t="n">
        <x:f>D43*'Assumptions'!$E$17+D44*'Assumptions'!$E$18</x:f>
        <x:v>5867.0556</x:v>
      </x:c>
      <x:c r="E45" s="135" t="n">
        <x:f>E43*'Assumptions'!$E$17+E44*'Assumptions'!$E$18</x:f>
        <x:v>8316.244920000001</x:v>
      </x:c>
      <x:c r="F45" s="135" t="n">
        <x:f>F43*'Assumptions'!$E$17+F44*'Assumptions'!$E$18</x:f>
        <x:v>11077.85282928</x:v>
      </x:c>
      <x:c r="G45" s="135" t="n">
        <x:f>G43*'Assumptions'!$E$17+G44*'Assumptions'!$E$18</x:f>
        <x:v>14200.5850954464</x:v>
      </x:c>
      <x:c r="H45" s="135" t="n">
        <x:f>H43*'Assumptions'!$E$17+H44*'Assumptions'!$E$18</x:f>
        <x:v>17740.77450189562</x:v>
      </x:c>
      <x:c r="I45" s="135" t="n">
        <x:f>I43*'Assumptions'!$E$17+I44*'Assumptions'!$E$18</x:f>
        <x:v>21763.62479020449</x:v>
      </x:c>
      <x:c r="J45" s="135" t="n">
        <x:f>J43*'Assumptions'!$E$17+J44*'Assumptions'!$E$18</x:f>
        <x:v>26344.662757941085</x:v>
      </x:c>
      <x:c r="K45" s="135" t="n">
        <x:f>K43*'Assumptions'!$E$17+K44*'Assumptions'!$E$18</x:f>
        <x:v>31571.434100085982</x:v>
      </x:c>
      <x:c r="L45" s="135" t="n">
        <x:f>L43*'Assumptions'!$E$17+L44*'Assumptions'!$E$18</x:f>
        <x:v>37545.484762137756</x:v>
      </x:c>
      <x:c r="M45" s="135" t="n">
        <x:f>M43*'Assumptions'!$E$17+M44*'Assumptions'!$E$18</x:f>
        <x:v>44384.67683813693</x:v>
      </x:c>
      <x:c r="N45" s="135" t="n">
        <x:f>N43*'Assumptions'!$E$17+N44*'Assumptions'!$E$18</x:f>
        <x:v>52225.89658937643</x:v>
      </x:c>
      <x:c r="O45" s="135" t="n">
        <x:f>O43*'Assumptions'!$E$17+O44*'Assumptions'!$E$18</x:f>
        <x:v>61228.22220575772</x:v>
      </x:c>
      <x:c r="P45" s="135" t="n">
        <x:f>P43*'Assumptions'!$E$17+P44*'Assumptions'!$E$18</x:f>
        <x:v>71576.63074817858</x:v>
      </x:c>
      <x:c r="Q45" s="135" t="n">
        <x:f>Q43*'Assumptions'!$E$17+Q44*'Assumptions'!$E$18</x:f>
        <x:v>83486.33761107262</x:v>
      </x:c>
      <x:c r="R45" s="135" t="n">
        <x:f>R43*'Assumptions'!$E$17+R44*'Assumptions'!$E$18</x:f>
        <x:v>97207.87819931898</x:v>
      </x:c>
      <x:c r="S45" s="135" t="n">
        <x:f>S43*'Assumptions'!$E$17+S44*'Assumptions'!$E$18</x:f>
        <x:v>113033.06075925713</x:v>
      </x:c>
      <x:c r="T45" s="135" t="n">
        <x:f>T43*'Assumptions'!$E$17+T44*'Assumptions'!$E$18</x:f>
        <x:v>131301.94195333</x:v>
      </x:c>
      <x:c r="U45" s="135" t="n">
        <x:f>U43*'Assumptions'!$E$17+U44*'Assumptions'!$E$18</x:f>
        <x:v>152411.0034275162</x:v>
      </x:c>
      <x:c r="V45" s="135" t="n">
        <x:f>V43*'Assumptions'!$E$17+V44*'Assumptions'!$E$18</x:f>
        <x:v>176822.73900392052</x:v>
      </x:c>
      <x:c r="W45" s="135" t="n">
        <x:f>W43*'Assumptions'!$E$17+W44*'Assumptions'!$E$18</x:f>
        <x:v>205076.89907888946</x:v>
      </x:c>
      <x:c r="X45" s="135" t="n">
        <x:f>X43*'Assumptions'!$E$17+X44*'Assumptions'!$E$18</x:f>
        <x:v>237803.68231136922</x:v>
      </x:c>
      <x:c r="Y45" s="135" t="n">
        <x:f>Y43*'Assumptions'!$E$17+Y44*'Assumptions'!$E$18</x:f>
        <x:v>275739.21591575164</x:v>
      </x:c>
      <x:c r="Z45" s="135" t="n">
        <x:f>Z43*'Assumptions'!$E$17+Z44*'Assumptions'!$E$18</x:f>
        <x:v>319743.72620602004</x:v>
      </x:c>
      <x:c r="AA45" s="135" t="n">
        <x:f>AA43*'Assumptions'!$E$17+AA44*'Assumptions'!$E$18</x:f>
        <x:v>370822.87209796836</x:v>
      </x:c>
      <x:c r="AB45" s="135" t="n">
        <x:f>AB43*'Assumptions'!$E$17+AB44*'Assumptions'!$E$18</x:f>
        <x:v>430152.797978646</x:v>
      </x:c>
      <x:c r="AC45" s="135" t="n">
        <x:f>AC43*'Assumptions'!$E$17+AC44*'Assumptions'!$E$18</x:f>
        <x:v>499109.56095482974</x:v>
      </x:c>
      <x:c r="AD45" s="135" t="n">
        <x:f>AD43*'Assumptions'!$E$17+AD44*'Assumptions'!$E$18</x:f>
        <x:v>579303.7036573214</x:v>
      </x:c>
      <x:c r="AE45" s="135" t="n">
        <x:f>AE43*'Assumptions'!$E$17+AE44*'Assumptions'!$E$18</x:f>
        <x:v>672620.8806441354</x:v>
      </x:c>
      <x:c r="AF45" s="135" t="n">
        <x:f>AF43*'Assumptions'!$E$17+AF44*'Assumptions'!$E$18</x:f>
        <x:v>781269.6077143614</x:v>
      </x:c>
      <x:c r="AG45" s="135" t="n">
        <x:f>AG43*'Assumptions'!$E$17+AG44*'Assumptions'!$E$18</x:f>
        <x:v>907837.393480113</x:v>
      </x:c>
      <x:c r="AH45" s="135" t="n">
        <x:f>AH43*'Assumptions'!$E$17+AH44*'Assumptions'!$E$18</x:f>
        <x:v>1055356.736493147</x:v>
      </x:c>
      <x:c r="AI45" s="135" t="n">
        <x:f>AI43*'Assumptions'!$E$17+AI44*'Assumptions'!$E$18</x:f>
        <x:v>1227382.7351547766</x:v>
      </x:c>
      <x:c r="AJ45" s="135" t="n">
        <x:f>AJ43*'Assumptions'!$E$17+AJ44*'Assumptions'!$E$18</x:f>
        <x:v>1428084.3687101537</x:v>
      </x:c>
      <x:c r="AK45" s="135" t="n">
        <x:f>AK43*'Assumptions'!$E$17+AK44*'Assumptions'!$E$18</x:f>
        <x:v>1662351.8742820309</x:v>
      </x:c>
    </x:row>
    <x:row r="46">
      <x:c r="A46" s="134" t="str">
        <x:v>Cost of revenue</x:v>
      </x:c>
      <x:c r="B46" s="135" t="n">
        <x:f>(B43*'Assumptions'!$E$19+B44*'Assumptions'!$E$20)*'Assumptions'!$E$21+B45*'Assumptions'!$E$23+(B43+B44)*'Assumptions'!$E$22</x:f>
        <x:v>145.43099999999998</x:v>
      </x:c>
      <x:c r="C46" s="135" t="n">
        <x:f>(C43*'Assumptions'!$E$19+C44*'Assumptions'!$E$20)*'Assumptions'!$E$21+C45*'Assumptions'!$E$23+(C43+C44)*'Assumptions'!$E$22</x:f>
        <x:v>307.52958</x:v>
      </x:c>
      <x:c r="D46" s="135" t="n">
        <x:f>(D43*'Assumptions'!$E$19+D44*'Assumptions'!$E$20)*'Assumptions'!$E$21+D45*'Assumptions'!$E$23+(D43+D44)*'Assumptions'!$E$22</x:f>
        <x:v>488.8638972</x:v>
      </x:c>
      <x:c r="E46" s="135" t="n">
        <x:f>(E43*'Assumptions'!$E$19+E44*'Assumptions'!$E$20)*'Assumptions'!$E$21+E45*'Assumptions'!$E$23+(E43+E44)*'Assumptions'!$E$22</x:f>
        <x:v>692.3915540400001</x:v>
      </x:c>
      <x:c r="F46" s="135" t="n">
        <x:f>(F43*'Assumptions'!$E$19+F44*'Assumptions'!$E$20)*'Assumptions'!$E$21+F45*'Assumptions'!$E$23+(F43+F44)*'Assumptions'!$E$22</x:f>
        <x:v>921.5216511537601</x:v>
      </x:c>
      <x:c r="G46" s="135" t="n">
        <x:f>(G43*'Assumptions'!$E$19+G44*'Assumptions'!$E$20)*'Assumptions'!$E$21+G45*'Assumptions'!$E$23+(G43+G44)*'Assumptions'!$E$22</x:f>
        <x:v>1180.1870194826208</x:v>
      </x:c>
      <x:c r="H46" s="135" t="n">
        <x:f>(H43*'Assumptions'!$E$19+H44*'Assumptions'!$E$20)*'Assumptions'!$E$21+H45*'Assumptions'!$E$23+(H43+H44)*'Assumptions'!$E$22</x:f>
        <x:v>1472.928345882874</x:v>
      </x:c>
      <x:c r="I46" s="135" t="n">
        <x:f>(I43*'Assumptions'!$E$19+I44*'Assumptions'!$E$20)*'Assumptions'!$E$21+I45*'Assumptions'!$E$23+(I43+I44)*'Assumptions'!$E$22</x:f>
        <x:v>1804.9922009543682</x:v>
      </x:c>
      <x:c r="J46" s="135" t="n">
        <x:f>(J43*'Assumptions'!$E$19+J44*'Assumptions'!$E$20)*'Assumptions'!$E$21+J45*'Assumptions'!$E$23+(J43+J44)*'Assumptions'!$E$22</x:f>
        <x:v>2182.4453235023147</x:v>
      </x:c>
      <x:c r="K46" s="135" t="n">
        <x:f>(K43*'Assumptions'!$E$19+K44*'Assumptions'!$E$20)*'Assumptions'!$E$21+K45*'Assumptions'!$E$23+(K43+K44)*'Assumptions'!$E$22</x:f>
        <x:v>2612.307922046647</x:v>
      </x:c>
      <x:c r="L46" s="135" t="n">
        <x:f>(L43*'Assumptions'!$E$19+L44*'Assumptions'!$E$20)*'Assumptions'!$E$21+L45*'Assumptions'!$E$23+(L43+L44)*'Assumptions'!$E$22</x:f>
        <x:v>3102.709230742414</x:v>
      </x:c>
      <x:c r="M46" s="135" t="n">
        <x:f>(M43*'Assumptions'!$E$19+M44*'Assumptions'!$E$20)*'Assumptions'!$E$21+M45*'Assumptions'!$E$23+(M43+M44)*'Assumptions'!$E$22</x:f>
        <x:v>3663.069117484848</x:v>
      </x:c>
      <x:c r="N46" s="135" t="n">
        <x:f>(N43*'Assumptions'!$E$19+N44*'Assumptions'!$E$20)*'Assumptions'!$E$21+N45*'Assumptions'!$E$23+(N43+N44)*'Assumptions'!$E$22</x:f>
        <x:v>4304.310200580119</x:v>
      </x:c>
      <x:c r="O46" s="135" t="n">
        <x:f>(O43*'Assumptions'!$E$19+O44*'Assumptions'!$E$20)*'Assumptions'!$E$21+O45*'Assumptions'!$E$23+(O43+O44)*'Assumptions'!$E$22</x:f>
        <x:v>5039.105704521597</x:v>
      </x:c>
      <x:c r="P46" s="135" t="n">
        <x:f>(P43*'Assumptions'!$E$19+P44*'Assumptions'!$E$20)*'Assumptions'!$E$21+P45*'Assumptions'!$E$23+(P43+P44)*'Assumptions'!$E$22</x:f>
        <x:v>5882.169195561198</x:v>
      </x:c>
      <x:c r="Q46" s="135" t="n">
        <x:f>(Q43*'Assumptions'!$E$19+Q44*'Assumptions'!$E$20)*'Assumptions'!$E$21+Q45*'Assumptions'!$E$23+(Q43+Q44)*'Assumptions'!$E$22</x:f>
        <x:v>6850.59340798148</x:v>
      </x:c>
      <x:c r="R46" s="135" t="n">
        <x:f>(R43*'Assumptions'!$E$19+R44*'Assumptions'!$E$20)*'Assumptions'!$E$21+R45*'Assumptions'!$E$23+(R43+R44)*'Assumptions'!$E$22</x:f>
        <x:v>7964.246630617154</x:v>
      </x:c>
      <x:c r="S46" s="135" t="n">
        <x:f>(S43*'Assumptions'!$E$19+S44*'Assumptions'!$E$20)*'Assumptions'!$E$21+S45*'Assumptions'!$E$23+(S43+S44)*'Assumptions'!$E$22</x:f>
        <x:v>9246.23660365607</x:v>
      </x:c>
      <x:c r="T46" s="135" t="n">
        <x:f>(T43*'Assumptions'!$E$19+T44*'Assumptions'!$E$20)*'Assumptions'!$E$21+T45*'Assumptions'!$E$23+(T43+T44)*'Assumptions'!$E$22</x:f>
        <x:v>10723.453617434208</x:v>
      </x:c>
      <x:c r="U46" s="135" t="n">
        <x:f>(U43*'Assumptions'!$E$19+U44*'Assumptions'!$E$20)*'Assumptions'!$E$21+U45*'Assumptions'!$E$23+(U43+U44)*'Assumptions'!$E$22</x:f>
        <x:v>12427.206554209206</x:v>
      </x:c>
      <x:c r="V46" s="135" t="n">
        <x:f>(V43*'Assumptions'!$E$19+V44*'Assumptions'!$E$20)*'Assumptions'!$E$21+V45*'Assumptions'!$E$23+(V43+V44)*'Assumptions'!$E$22</x:f>
        <x:v>14393.968025407987</x:v>
      </x:c>
      <x:c r="W46" s="135" t="n">
        <x:f>(W43*'Assumptions'!$E$19+W44*'Assumptions'!$E$20)*'Assumptions'!$E$21+W45*'Assumptions'!$E$23+(W43+W44)*'Assumptions'!$E$22</x:f>
        <x:v>16666.24759500368</x:v>
      </x:c>
      <x:c r="X46" s="135" t="n">
        <x:f>(X43*'Assumptions'!$E$19+X44*'Assumptions'!$E$20)*'Assumptions'!$E$21+X45*'Assumptions'!$E$23+(X43+X44)*'Assumptions'!$E$22</x:f>
        <x:v>19293.615420391754</x:v>
      </x:c>
      <x:c r="Y46" s="135" t="n">
        <x:f>(Y43*'Assumptions'!$E$19+Y44*'Assumptions'!$E$20)*'Assumptions'!$E$21+Y45*'Assumptions'!$E$23+(Y43+Y44)*'Assumptions'!$E$22</x:f>
        <x:v>22333.902574866817</x:v>
      </x:c>
      <x:c r="Z46" s="135" t="n">
        <x:f>(Z43*'Assumptions'!$E$19+Z44*'Assumptions'!$E$20)*'Assumptions'!$E$21+Z45*'Assumptions'!$E$23+(Z43+Z44)*'Assumptions'!$E$22</x:f>
        <x:v>25854.608945995704</x:v>
      </x:c>
      <x:c r="AA46" s="135" t="n">
        <x:f>(AA43*'Assumptions'!$E$19+AA44*'Assumptions'!$E$20)*'Assumptions'!$E$21+AA45*'Assumptions'!$E$23+(AA43+AA44)*'Assumptions'!$E$22</x:f>
        <x:v>29934.55505613127</x:v>
      </x:c>
      <x:c r="AB46" s="135" t="n">
        <x:f>(AB43*'Assumptions'!$E$19+AB44*'Assumptions'!$E$20)*'Assumptions'!$E$21+AB45*'Assumptions'!$E$23+(AB43+AB44)*'Assumptions'!$E$22</x:f>
        <x:v>34665.82057152818</x:v>
      </x:c>
      <x:c r="AC46" s="135" t="n">
        <x:f>(AC43*'Assumptions'!$E$19+AC44*'Assumptions'!$E$20)*'Assumptions'!$E$21+AC45*'Assumptions'!$E$23+(AC43+AC44)*'Assumptions'!$E$22</x:f>
        <x:v>40156.0198277262</x:v>
      </x:c>
      <x:c r="AD46" s="135" t="n">
        <x:f>(AD43*'Assumptions'!$E$19+AD44*'Assumptions'!$E$20)*'Assumptions'!$E$21+AD45*'Assumptions'!$E$23+(AD43+AD44)*'Assumptions'!$E$22</x:f>
        <x:v>46530.973604676576</x:v>
      </x:c>
      <x:c r="AE46" s="135" t="n">
        <x:f>(AE43*'Assumptions'!$E$19+AE44*'Assumptions'!$E$20)*'Assumptions'!$E$21+AE45*'Assumptions'!$E$23+(AE43+AE44)*'Assumptions'!$E$22</x:f>
        <x:v>53937.84687556372</x:v>
      </x:c>
      <x:c r="AF46" s="135" t="n">
        <x:f>(AF43*'Assumptions'!$E$19+AF44*'Assumptions'!$E$20)*'Assumptions'!$E$21+AF45*'Assumptions'!$E$23+(AF43+AF44)*'Assumptions'!$E$22</x:f>
        <x:v>62548.834611450955</x:v>
      </x:c>
      <x:c r="AG46" s="135" t="n">
        <x:f>(AG43*'Assumptions'!$E$19+AG44*'Assumptions'!$E$20)*'Assumptions'!$E$21+AG45*'Assumptions'!$E$23+(AG43+AG44)*'Assumptions'!$E$22</x:f>
        <x:v>72565.4922834724</x:v>
      </x:c>
      <x:c r="AH46" s="135" t="n">
        <x:f>(AH43*'Assumptions'!$E$19+AH44*'Assumptions'!$E$20)*'Assumptions'!$E$21+AH45*'Assumptions'!$E$23+(AH43+AH44)*'Assumptions'!$E$22</x:f>
        <x:v>84223.82485879044</x:v>
      </x:c>
      <x:c r="AI46" s="135" t="n">
        <x:f>(AI43*'Assumptions'!$E$19+AI44*'Assumptions'!$E$20)*'Assumptions'!$E$21+AI45*'Assumptions'!$E$23+(AI43+AI44)*'Assumptions'!$E$22</x:f>
        <x:v>97800.26829992431</x:v>
      </x:c>
      <x:c r="AJ46" s="135" t="n">
        <x:f>(AJ43*'Assumptions'!$E$19+AJ44*'Assumptions'!$E$20)*'Assumptions'!$E$21+AJ45*'Assumptions'!$E$23+(AJ43+AJ44)*'Assumptions'!$E$22</x:f>
        <x:v>113618.72139645962</x:v>
      </x:c>
      <x:c r="AK46" s="135" t="n">
        <x:f>(AK43*'Assumptions'!$E$19+AK44*'Assumptions'!$E$20)*'Assumptions'!$E$21+AK45*'Assumptions'!$E$23+(AK43+AK44)*'Assumptions'!$E$22</x:f>
        <x:v>132058.81382876675</x:v>
      </x:c>
    </x:row>
    <x:row r="47">
      <x:c r="A47" s="134" t="str">
        <x:v>Operating expenses</x:v>
      </x:c>
      <x:c r="B47" s="135" t="n">
        <x:f>'Assumptions'!$E$25*(1+'Assumptions'!$E$26)^(1-1)+'Assumptions'!$E$27+IF(1&gt;='Assumptions'!$E$29,'Assumptions'!$E$28,0)+IF(1&gt;='Assumptions'!$E$31,'Assumptions'!$E$30,0)+'Assumptions'!$E$32*(1+'Assumptions'!$E$33)^(1-1)+'Assumptions'!$E$34</x:f>
        <x:v>7050</x:v>
      </x:c>
      <x:c r="C47" s="135" t="n">
        <x:f>'Assumptions'!$E$25*(1+'Assumptions'!$E$26)^(2-1)+'Assumptions'!$E$27+IF(2&gt;='Assumptions'!$E$29,'Assumptions'!$E$28,0)+IF(2&gt;='Assumptions'!$E$31,'Assumptions'!$E$30,0)+'Assumptions'!$E$32*(1+'Assumptions'!$E$33)^(2-1)+'Assumptions'!$E$34</x:f>
        <x:v>7264.5</x:v>
      </x:c>
      <x:c r="D47" s="135" t="n">
        <x:f>'Assumptions'!$E$25*(1+'Assumptions'!$E$26)^(3-1)+'Assumptions'!$E$27+IF(3&gt;='Assumptions'!$E$29,'Assumptions'!$E$28,0)+IF(3&gt;='Assumptions'!$E$31,'Assumptions'!$E$30,0)+'Assumptions'!$E$32*(1+'Assumptions'!$E$33)^(3-1)+'Assumptions'!$E$34</x:f>
        <x:v>7497.255</x:v>
      </x:c>
      <x:c r="E47" s="135" t="n">
        <x:f>'Assumptions'!$E$25*(1+'Assumptions'!$E$26)^(4-1)+'Assumptions'!$E$27+IF(4&gt;='Assumptions'!$E$29,'Assumptions'!$E$28,0)+IF(4&gt;='Assumptions'!$E$31,'Assumptions'!$E$30,0)+'Assumptions'!$E$32*(1+'Assumptions'!$E$33)^(4-1)+'Assumptions'!$E$34</x:f>
        <x:v>12749.83445</x:v>
      </x:c>
      <x:c r="F47" s="135" t="n">
        <x:f>'Assumptions'!$E$25*(1+'Assumptions'!$E$26)^(5-1)+'Assumptions'!$E$27+IF(5&gt;='Assumptions'!$E$29,'Assumptions'!$E$28,0)+IF(5&gt;='Assumptions'!$E$31,'Assumptions'!$E$30,0)+'Assumptions'!$E$32*(1+'Assumptions'!$E$33)^(5-1)+'Assumptions'!$E$34</x:f>
        <x:v>13023.9439055</x:v>
      </x:c>
      <x:c r="G47" s="135" t="n">
        <x:f>'Assumptions'!$E$25*(1+'Assumptions'!$E$26)^(6-1)+'Assumptions'!$E$27+IF(6&gt;='Assumptions'!$E$29,'Assumptions'!$E$28,0)+IF(6&gt;='Assumptions'!$E$31,'Assumptions'!$E$30,0)+'Assumptions'!$E$32*(1+'Assumptions'!$E$33)^(6-1)+'Assumptions'!$E$34</x:f>
        <x:v>13321.436916845001</x:v>
      </x:c>
      <x:c r="H47" s="135" t="n">
        <x:f>'Assumptions'!$E$25*(1+'Assumptions'!$E$26)^(7-1)+'Assumptions'!$E$27+IF(7&gt;='Assumptions'!$E$29,'Assumptions'!$E$28,0)+IF(7&gt;='Assumptions'!$E$31,'Assumptions'!$E$30,0)+'Assumptions'!$E$32*(1+'Assumptions'!$E$33)^(7-1)+'Assumptions'!$E$34</x:f>
        <x:v>17144.327963400552</x:v>
      </x:c>
      <x:c r="I47" s="135" t="n">
        <x:f>'Assumptions'!$E$25*(1+'Assumptions'!$E$26)^(8-1)+'Assumptions'!$E$27+IF(8&gt;='Assumptions'!$E$29,'Assumptions'!$E$28,0)+IF(8&gt;='Assumptions'!$E$31,'Assumptions'!$E$30,0)+'Assumptions'!$E$32*(1+'Assumptions'!$E$33)^(8-1)+'Assumptions'!$E$34</x:f>
        <x:v>17494.806524828866</x:v>
      </x:c>
      <x:c r="J47" s="135" t="n">
        <x:f>'Assumptions'!$E$25*(1+'Assumptions'!$E$26)^(9-1)+'Assumptions'!$E$27+IF(9&gt;='Assumptions'!$E$29,'Assumptions'!$E$28,0)+IF(9&gt;='Assumptions'!$E$31,'Assumptions'!$E$30,0)+'Assumptions'!$E$32*(1+'Assumptions'!$E$33)^(9-1)+'Assumptions'!$E$34</x:f>
        <x:v>17875.252389916288</x:v>
      </x:c>
      <x:c r="K47" s="135" t="n">
        <x:f>'Assumptions'!$E$25*(1+'Assumptions'!$E$26)^(10-1)+'Assumptions'!$E$27+IF(10&gt;='Assumptions'!$E$29,'Assumptions'!$E$28,0)+IF(10&gt;='Assumptions'!$E$31,'Assumptions'!$E$30,0)+'Assumptions'!$E$32*(1+'Assumptions'!$E$33)^(10-1)+'Assumptions'!$E$34</x:f>
        <x:v>18288.252312311273</x:v>
      </x:c>
      <x:c r="L47" s="135" t="n">
        <x:f>'Assumptions'!$E$25*(1+'Assumptions'!$E$26)^(11-1)+'Assumptions'!$E$27+IF(11&gt;='Assumptions'!$E$29,'Assumptions'!$E$28,0)+IF(11&gt;='Assumptions'!$E$31,'Assumptions'!$E$30,0)+'Assumptions'!$E$32*(1+'Assumptions'!$E$33)^(11-1)+'Assumptions'!$E$34</x:f>
        <x:v>18736.61813223299</x:v>
      </x:c>
      <x:c r="M47" s="135" t="n">
        <x:f>'Assumptions'!$E$25*(1+'Assumptions'!$E$26)^(12-1)+'Assumptions'!$E$27+IF(12&gt;='Assumptions'!$E$29,'Assumptions'!$E$28,0)+IF(12&gt;='Assumptions'!$E$31,'Assumptions'!$E$30,0)+'Assumptions'!$E$32*(1+'Assumptions'!$E$33)^(12-1)+'Assumptions'!$E$34</x:f>
        <x:v>19223.406493774615</x:v>
      </x:c>
      <x:c r="N47" s="135" t="n">
        <x:f>'Assumptions'!$E$25*(1+'Assumptions'!$E$26)^(13-1)+'Assumptions'!$E$27+IF(13&gt;='Assumptions'!$E$29,'Assumptions'!$E$28,0)+IF(13&gt;='Assumptions'!$E$31,'Assumptions'!$E$30,0)+'Assumptions'!$E$32*(1+'Assumptions'!$E$33)^(13-1)+'Assumptions'!$E$34</x:f>
        <x:v>19751.940298929832</x:v>
      </x:c>
      <x:c r="O47" s="135" t="n">
        <x:f>'Assumptions'!$E$25*(1+'Assumptions'!$E$26)^(14-1)+'Assumptions'!$E$27+IF(14&gt;='Assumptions'!$E$29,'Assumptions'!$E$28,0)+IF(14&gt;='Assumptions'!$E$31,'Assumptions'!$E$30,0)+'Assumptions'!$E$32*(1+'Assumptions'!$E$33)^(14-1)+'Assumptions'!$E$34</x:f>
        <x:v>20325.832051999107</x:v>
      </x:c>
      <x:c r="P47" s="135" t="n">
        <x:f>'Assumptions'!$E$25*(1+'Assumptions'!$E$26)^(15-1)+'Assumptions'!$E$27+IF(15&gt;='Assumptions'!$E$29,'Assumptions'!$E$28,0)+IF(15&gt;='Assumptions'!$E$31,'Assumptions'!$E$30,0)+'Assumptions'!$E$32*(1+'Assumptions'!$E$33)^(15-1)+'Assumptions'!$E$34</x:f>
        <x:v>20949.00926167621</x:v>
      </x:c>
      <x:c r="Q47" s="135" t="n">
        <x:f>'Assumptions'!$E$25*(1+'Assumptions'!$E$26)^(16-1)+'Assumptions'!$E$27+IF(16&gt;='Assumptions'!$E$29,'Assumptions'!$E$28,0)+IF(16&gt;='Assumptions'!$E$31,'Assumptions'!$E$30,0)+'Assumptions'!$E$32*(1+'Assumptions'!$E$33)^(16-1)+'Assumptions'!$E$34</x:f>
        <x:v>21625.742082974044</x:v>
      </x:c>
      <x:c r="R47" s="135" t="n">
        <x:f>'Assumptions'!$E$25*(1+'Assumptions'!$E$26)^(17-1)+'Assumptions'!$E$27+IF(17&gt;='Assumptions'!$E$29,'Assumptions'!$E$28,0)+IF(17&gt;='Assumptions'!$E$31,'Assumptions'!$E$30,0)+'Assumptions'!$E$32*(1+'Assumptions'!$E$33)^(17-1)+'Assumptions'!$E$34</x:f>
        <x:v>22360.673397330982</x:v>
      </x:c>
      <x:c r="S47" s="135" t="n">
        <x:f>'Assumptions'!$E$25*(1+'Assumptions'!$E$26)^(18-1)+'Assumptions'!$E$27+IF(18&gt;='Assumptions'!$E$29,'Assumptions'!$E$28,0)+IF(18&gt;='Assumptions'!$E$31,'Assumptions'!$E$30,0)+'Assumptions'!$E$32*(1+'Assumptions'!$E$33)^(18-1)+'Assumptions'!$E$34</x:f>
        <x:v>23158.851546862286</x:v>
      </x:c>
      <x:c r="T47" s="135" t="n">
        <x:f>'Assumptions'!$E$25*(1+'Assumptions'!$E$26)^(19-1)+'Assumptions'!$E$27+IF(19&gt;='Assumptions'!$E$29,'Assumptions'!$E$28,0)+IF(19&gt;='Assumptions'!$E$31,'Assumptions'!$E$30,0)+'Assumptions'!$E$32*(1+'Assumptions'!$E$33)^(19-1)+'Assumptions'!$E$34</x:f>
        <x:v>24025.76595791542</x:v>
      </x:c>
      <x:c r="U47" s="135" t="n">
        <x:f>'Assumptions'!$E$25*(1+'Assumptions'!$E$26)^(20-1)+'Assumptions'!$E$27+IF(20&gt;='Assumptions'!$E$29,'Assumptions'!$E$28,0)+IF(20&gt;='Assumptions'!$E$31,'Assumptions'!$E$30,0)+'Assumptions'!$E$32*(1+'Assumptions'!$E$33)^(20-1)+'Assumptions'!$E$34</x:f>
        <x:v>24967.38590999182</x:v>
      </x:c>
      <x:c r="V47" s="135" t="n">
        <x:f>'Assumptions'!$E$25*(1+'Assumptions'!$E$26)^(21-1)+'Assumptions'!$E$27+IF(21&gt;='Assumptions'!$E$29,'Assumptions'!$E$28,0)+IF(21&gt;='Assumptions'!$E$31,'Assumptions'!$E$30,0)+'Assumptions'!$E$32*(1+'Assumptions'!$E$33)^(21-1)+'Assumptions'!$E$34</x:f>
        <x:v>25990.20272886558</x:v>
      </x:c>
      <x:c r="W47" s="135" t="n">
        <x:f>'Assumptions'!$E$25*(1+'Assumptions'!$E$26)^(22-1)+'Assumptions'!$E$27+IF(22&gt;='Assumptions'!$E$29,'Assumptions'!$E$28,0)+IF(22&gt;='Assumptions'!$E$31,'Assumptions'!$E$30,0)+'Assumptions'!$E$32*(1+'Assumptions'!$E$33)^(22-1)+'Assumptions'!$E$34</x:f>
        <x:v>27101.275707526187</x:v>
      </x:c>
      <x:c r="X47" s="135" t="n">
        <x:f>'Assumptions'!$E$25*(1+'Assumptions'!$E$26)^(23-1)+'Assumptions'!$E$27+IF(23&gt;='Assumptions'!$E$29,'Assumptions'!$E$28,0)+IF(23&gt;='Assumptions'!$E$31,'Assumptions'!$E$30,0)+'Assumptions'!$E$32*(1+'Assumptions'!$E$33)^(23-1)+'Assumptions'!$E$34</x:f>
        <x:v>28308.282085580642</x:v>
      </x:c>
      <x:c r="Y47" s="135" t="n">
        <x:f>'Assumptions'!$E$25*(1+'Assumptions'!$E$26)^(24-1)+'Assumptions'!$E$27+IF(24&gt;='Assumptions'!$E$29,'Assumptions'!$E$28,0)+IF(24&gt;='Assumptions'!$E$31,'Assumptions'!$E$30,0)+'Assumptions'!$E$32*(1+'Assumptions'!$E$33)^(24-1)+'Assumptions'!$E$34</x:f>
        <x:v>29619.571447166396</x:v>
      </x:c>
      <x:c r="Z47" s="135" t="n">
        <x:f>'Assumptions'!$E$25*(1+'Assumptions'!$E$26)^(25-1)+'Assumptions'!$E$27+IF(25&gt;='Assumptions'!$E$29,'Assumptions'!$E$28,0)+IF(25&gt;='Assumptions'!$E$31,'Assumptions'!$E$30,0)+'Assumptions'!$E$32*(1+'Assumptions'!$E$33)^(25-1)+'Assumptions'!$E$34</x:f>
        <x:v>31044.224929466713</x:v>
      </x:c>
      <x:c r="AA47" s="135" t="n">
        <x:f>'Assumptions'!$E$25*(1+'Assumptions'!$E$26)^(26-1)+'Assumptions'!$E$27+IF(26&gt;='Assumptions'!$E$29,'Assumptions'!$E$28,0)+IF(26&gt;='Assumptions'!$E$31,'Assumptions'!$E$30,0)+'Assumptions'!$E$32*(1+'Assumptions'!$E$33)^(26-1)+'Assumptions'!$E$34</x:f>
        <x:v>32592.119668817926</x:v>
      </x:c>
      <x:c r="AB47" s="135" t="n">
        <x:f>'Assumptions'!$E$25*(1+'Assumptions'!$E$26)^(27-1)+'Assumptions'!$E$27+IF(27&gt;='Assumptions'!$E$29,'Assumptions'!$E$28,0)+IF(27&gt;='Assumptions'!$E$31,'Assumptions'!$E$30,0)+'Assumptions'!$E$32*(1+'Assumptions'!$E$33)^(27-1)+'Assumptions'!$E$34</x:f>
        <x:v>34273.9989494097</x:v>
      </x:c>
      <x:c r="AC47" s="135" t="n">
        <x:f>'Assumptions'!$E$25*(1+'Assumptions'!$E$26)^(28-1)+'Assumptions'!$E$27+IF(28&gt;='Assumptions'!$E$29,'Assumptions'!$E$28,0)+IF(28&gt;='Assumptions'!$E$31,'Assumptions'!$E$30,0)+'Assumptions'!$E$32*(1+'Assumptions'!$E$33)^(28-1)+'Assumptions'!$E$34</x:f>
        <x:v>36101.5485609826</x:v>
      </x:c>
      <x:c r="AD47" s="135" t="n">
        <x:f>'Assumptions'!$E$25*(1+'Assumptions'!$E$26)^(29-1)+'Assumptions'!$E$27+IF(29&gt;='Assumptions'!$E$29,'Assumptions'!$E$28,0)+IF(29&gt;='Assumptions'!$E$31,'Assumptions'!$E$30,0)+'Assumptions'!$E$32*(1+'Assumptions'!$E$33)^(29-1)+'Assumptions'!$E$34</x:f>
        <x:v>38087.479917025885</x:v>
      </x:c>
      <x:c r="AE47" s="135" t="n">
        <x:f>'Assumptions'!$E$25*(1+'Assumptions'!$E$26)^(30-1)+'Assumptions'!$E$27+IF(30&gt;='Assumptions'!$E$29,'Assumptions'!$E$28,0)+IF(30&gt;='Assumptions'!$E$31,'Assumptions'!$E$30,0)+'Assumptions'!$E$32*(1+'Assumptions'!$E$33)^(30-1)+'Assumptions'!$E$34</x:f>
        <x:v>40245.6205341019</x:v>
      </x:c>
      <x:c r="AF47" s="135" t="n">
        <x:f>'Assumptions'!$E$25*(1+'Assumptions'!$E$26)^(31-1)+'Assumptions'!$E$27+IF(31&gt;='Assumptions'!$E$29,'Assumptions'!$E$28,0)+IF(31&gt;='Assumptions'!$E$31,'Assumptions'!$E$30,0)+'Assumptions'!$E$32*(1+'Assumptions'!$E$33)^(31-1)+'Assumptions'!$E$34</x:f>
        <x:v>42591.01252643283</x:v>
      </x:c>
      <x:c r="AG47" s="135" t="n">
        <x:f>'Assumptions'!$E$25*(1+'Assumptions'!$E$26)^(32-1)+'Assumptions'!$E$27+IF(32&gt;='Assumptions'!$E$29,'Assumptions'!$E$28,0)+IF(32&gt;='Assumptions'!$E$31,'Assumptions'!$E$30,0)+'Assumptions'!$E$32*(1+'Assumptions'!$E$33)^(32-1)+'Assumptions'!$E$34</x:f>
        <x:v>45140.01982817185</x:v>
      </x:c>
      <x:c r="AH47" s="135" t="n">
        <x:f>'Assumptions'!$E$25*(1+'Assumptions'!$E$26)^(33-1)+'Assumptions'!$E$27+IF(33&gt;='Assumptions'!$E$29,'Assumptions'!$E$28,0)+IF(33&gt;='Assumptions'!$E$31,'Assumptions'!$E$30,0)+'Assumptions'!$E$32*(1+'Assumptions'!$E$33)^(33-1)+'Assumptions'!$E$34</x:f>
        <x:v>47910.4449192726</x:v>
      </x:c>
      <x:c r="AI47" s="135" t="n">
        <x:f>'Assumptions'!$E$25*(1+'Assumptions'!$E$26)^(34-1)+'Assumptions'!$E$27+IF(34&gt;='Assumptions'!$E$29,'Assumptions'!$E$28,0)+IF(34&gt;='Assumptions'!$E$31,'Assumptions'!$E$30,0)+'Assumptions'!$E$32*(1+'Assumptions'!$E$33)^(34-1)+'Assumptions'!$E$34</x:f>
        <x:v>50921.655900031976</x:v>
      </x:c>
      <x:c r="AJ47" s="135" t="n">
        <x:f>'Assumptions'!$E$25*(1+'Assumptions'!$E$26)^(35-1)+'Assumptions'!$E$27+IF(35&gt;='Assumptions'!$E$29,'Assumptions'!$E$28,0)+IF(35&gt;='Assumptions'!$E$31,'Assumptions'!$E$30,0)+'Assumptions'!$E$32*(1+'Assumptions'!$E$33)^(35-1)+'Assumptions'!$E$34</x:f>
        <x:v>54194.72483472143</x:v>
      </x:c>
      <x:c r="AK47" s="135" t="n">
        <x:f>'Assumptions'!$E$25*(1+'Assumptions'!$E$26)^(36-1)+'Assumptions'!$E$27+IF(36&gt;='Assumptions'!$E$29,'Assumptions'!$E$28,0)+IF(36&gt;='Assumptions'!$E$31,'Assumptions'!$E$30,0)+'Assumptions'!$E$32*(1+'Assumptions'!$E$33)^(36-1)+'Assumptions'!$E$34</x:f>
        <x:v>57752.578366791015</x:v>
      </x:c>
    </x:row>
    <x:row r="48">
      <x:c r="A48" s="134" t="str">
        <x:v>Operating profit</x:v>
      </x:c>
      <x:c r="B48" s="135" t="n">
        <x:f>B45-B46-B47</x:f>
        <x:v>-5452.4310000000005</x:v>
      </x:c>
      <x:c r="C48" s="135" t="n">
        <x:f>C45-C46-C47</x:f>
        <x:v>-3883.8895799999996</x:v>
      </x:c>
      <x:c r="D48" s="135" t="n">
        <x:f>D45-D46-D47</x:f>
        <x:v>-2119.0632972000003</x:v>
      </x:c>
      <x:c r="E48" s="135" t="n">
        <x:f>E45-E46-E47</x:f>
        <x:v>-5125.98108404</x:v>
      </x:c>
      <x:c r="F48" s="135" t="n">
        <x:f>F45-F46-F47</x:f>
        <x:v>-2867.61272737376</x:v>
      </x:c>
      <x:c r="G48" s="135" t="n">
        <x:f>G45-G46-G47</x:f>
        <x:v>-301.0388408812214</x:v>
      </x:c>
      <x:c r="H48" s="135" t="n">
        <x:f>H45-H46-H47</x:f>
        <x:v>-876.4818073878068</x:v>
      </x:c>
      <x:c r="I48" s="135" t="n">
        <x:f>I45-I46-I47</x:f>
        <x:v>2463.8260644212532</x:v>
      </x:c>
      <x:c r="J48" s="135" t="n">
        <x:f>J45-J46-J47</x:f>
        <x:v>6286.965044522483</x:v>
      </x:c>
      <x:c r="K48" s="135" t="n">
        <x:f>K45-K46-K47</x:f>
        <x:v>10670.873865728063</x:v>
      </x:c>
      <x:c r="L48" s="135" t="n">
        <x:f>L45-L46-L47</x:f>
        <x:v>15706.157399162348</x:v>
      </x:c>
      <x:c r="M48" s="135" t="n">
        <x:f>M45-M46-M47</x:f>
        <x:v>21498.20122687747</x:v>
      </x:c>
      <x:c r="N48" s="135" t="n">
        <x:f>N45-N46-N47</x:f>
        <x:v>28169.64608986648</x:v>
      </x:c>
      <x:c r="O48" s="135" t="n">
        <x:f>O45-O46-O47</x:f>
        <x:v>35863.284449237006</x:v>
      </x:c>
      <x:c r="P48" s="135" t="n">
        <x:f>P45-P46-P47</x:f>
        <x:v>44745.45229094116</x:v>
      </x:c>
      <x:c r="Q48" s="135" t="n">
        <x:f>Q45-Q46-Q47</x:f>
        <x:v>55010.002120117104</x:v>
      </x:c>
      <x:c r="R48" s="135" t="n">
        <x:f>R45-R46-R47</x:f>
        <x:v>66882.95817137085</x:v>
      </x:c>
      <x:c r="S48" s="135" t="n">
        <x:f>S45-S46-S47</x:f>
        <x:v>80627.97260873878</x:v>
      </x:c>
      <x:c r="T48" s="135" t="n">
        <x:f>T45-T46-T47</x:f>
        <x:v>96552.72237798039</x:v>
      </x:c>
      <x:c r="U48" s="135" t="n">
        <x:f>U45-U46-U47</x:f>
        <x:v>115016.41096331518</x:v>
      </x:c>
      <x:c r="V48" s="135" t="n">
        <x:f>V45-V46-V47</x:f>
        <x:v>136438.56824964695</x:v>
      </x:c>
      <x:c r="W48" s="135" t="n">
        <x:f>W45-W46-W47</x:f>
        <x:v>161309.37577635958</x:v>
      </x:c>
      <x:c r="X48" s="135" t="n">
        <x:f>X45-X46-X47</x:f>
        <x:v>190201.78480539683</x:v>
      </x:c>
      <x:c r="Y48" s="135" t="n">
        <x:f>Y45-Y46-Y47</x:f>
        <x:v>223785.74189371843</x:v>
      </x:c>
      <x:c r="Z48" s="135" t="n">
        <x:f>Z45-Z46-Z47</x:f>
        <x:v>262844.89233055763</x:v>
      </x:c>
      <x:c r="AA48" s="135" t="n">
        <x:f>AA45-AA46-AA47</x:f>
        <x:v>308296.1973730192</x:v>
      </x:c>
      <x:c r="AB48" s="135" t="n">
        <x:f>AB45-AB46-AB47</x:f>
        <x:v>361212.97845770814</x:v>
      </x:c>
      <x:c r="AC48" s="135" t="n">
        <x:f>AC45-AC46-AC47</x:f>
        <x:v>422851.9925661209</x:v>
      </x:c>
      <x:c r="AD48" s="135" t="n">
        <x:f>AD45-AD46-AD47</x:f>
        <x:v>494685.25013561896</x:v>
      </x:c>
      <x:c r="AE48" s="135" t="n">
        <x:f>AE45-AE46-AE47</x:f>
        <x:v>578437.4132344698</x:v>
      </x:c>
      <x:c r="AF48" s="135" t="n">
        <x:f>AF45-AF46-AF47</x:f>
        <x:v>676129.7605764776</x:v>
      </x:c>
      <x:c r="AG48" s="135" t="n">
        <x:f>AG45-AG46-AG47</x:f>
        <x:v>790131.8813684687</x:v>
      </x:c>
      <x:c r="AH48" s="135" t="n">
        <x:f>AH45-AH46-AH47</x:f>
        <x:v>923222.4667150839</x:v>
      </x:c>
      <x:c r="AI48" s="135" t="n">
        <x:f>AI45-AI46-AI47</x:f>
        <x:v>1078660.8109548204</x:v>
      </x:c>
      <x:c r="AJ48" s="135" t="n">
        <x:f>AJ45-AJ46-AJ47</x:f>
        <x:v>1260270.9224789725</x:v>
      </x:c>
      <x:c r="AK48" s="135" t="n">
        <x:f>AK45-AK46-AK47</x:f>
        <x:v>1472540.4820864731</x:v>
      </x:c>
    </x:row>
    <x:row r="49">
      <x:c r="A49" s="134" t="str">
        <x:v>Financing</x:v>
      </x:c>
      <x:c r="B49" s="135" t="n">
        <x:f>IF(1='Assumptions'!$E$37,'Assumptions'!$E$36,0)</x:f>
        <x:v>0</x:v>
      </x:c>
      <x:c r="C49" s="135" t="n">
        <x:f>IF(2='Assumptions'!$E$37,'Assumptions'!$E$36,0)</x:f>
        <x:v>0</x:v>
      </x:c>
      <x:c r="D49" s="135" t="n">
        <x:f>IF(3='Assumptions'!$E$37,'Assumptions'!$E$36,0)</x:f>
        <x:v>0</x:v>
      </x:c>
      <x:c r="E49" s="135" t="n">
        <x:f>IF(4='Assumptions'!$E$37,'Assumptions'!$E$36,0)</x:f>
        <x:v>0</x:v>
      </x:c>
      <x:c r="F49" s="135" t="n">
        <x:f>IF(5='Assumptions'!$E$37,'Assumptions'!$E$36,0)</x:f>
        <x:v>0</x:v>
      </x:c>
      <x:c r="G49" s="135" t="n">
        <x:f>IF(6='Assumptions'!$E$37,'Assumptions'!$E$36,0)</x:f>
        <x:v>0</x:v>
      </x:c>
      <x:c r="H49" s="135" t="n">
        <x:f>IF(7='Assumptions'!$E$37,'Assumptions'!$E$36,0)</x:f>
        <x:v>0</x:v>
      </x:c>
      <x:c r="I49" s="135" t="n">
        <x:f>IF(8='Assumptions'!$E$37,'Assumptions'!$E$36,0)</x:f>
        <x:v>0</x:v>
      </x:c>
      <x:c r="J49" s="135" t="n">
        <x:f>IF(9='Assumptions'!$E$37,'Assumptions'!$E$36,0)</x:f>
        <x:v>0</x:v>
      </x:c>
      <x:c r="K49" s="135" t="n">
        <x:f>IF(10='Assumptions'!$E$37,'Assumptions'!$E$36,0)</x:f>
        <x:v>250000</x:v>
      </x:c>
      <x:c r="L49" s="135" t="n">
        <x:f>IF(11='Assumptions'!$E$37,'Assumptions'!$E$36,0)</x:f>
        <x:v>0</x:v>
      </x:c>
      <x:c r="M49" s="135" t="n">
        <x:f>IF(12='Assumptions'!$E$37,'Assumptions'!$E$36,0)</x:f>
        <x:v>0</x:v>
      </x:c>
      <x:c r="N49" s="135" t="n">
        <x:f>IF(13='Assumptions'!$E$37,'Assumptions'!$E$36,0)</x:f>
        <x:v>0</x:v>
      </x:c>
      <x:c r="O49" s="135" t="n">
        <x:f>IF(14='Assumptions'!$E$37,'Assumptions'!$E$36,0)</x:f>
        <x:v>0</x:v>
      </x:c>
      <x:c r="P49" s="135" t="n">
        <x:f>IF(15='Assumptions'!$E$37,'Assumptions'!$E$36,0)</x:f>
        <x:v>0</x:v>
      </x:c>
      <x:c r="Q49" s="135" t="n">
        <x:f>IF(16='Assumptions'!$E$37,'Assumptions'!$E$36,0)</x:f>
        <x:v>0</x:v>
      </x:c>
      <x:c r="R49" s="135" t="n">
        <x:f>IF(17='Assumptions'!$E$37,'Assumptions'!$E$36,0)</x:f>
        <x:v>0</x:v>
      </x:c>
      <x:c r="S49" s="135" t="n">
        <x:f>IF(18='Assumptions'!$E$37,'Assumptions'!$E$36,0)</x:f>
        <x:v>0</x:v>
      </x:c>
      <x:c r="T49" s="135" t="n">
        <x:f>IF(19='Assumptions'!$E$37,'Assumptions'!$E$36,0)</x:f>
        <x:v>0</x:v>
      </x:c>
      <x:c r="U49" s="135" t="n">
        <x:f>IF(20='Assumptions'!$E$37,'Assumptions'!$E$36,0)</x:f>
        <x:v>0</x:v>
      </x:c>
      <x:c r="V49" s="135" t="n">
        <x:f>IF(21='Assumptions'!$E$37,'Assumptions'!$E$36,0)</x:f>
        <x:v>0</x:v>
      </x:c>
      <x:c r="W49" s="135" t="n">
        <x:f>IF(22='Assumptions'!$E$37,'Assumptions'!$E$36,0)</x:f>
        <x:v>0</x:v>
      </x:c>
      <x:c r="X49" s="135" t="n">
        <x:f>IF(23='Assumptions'!$E$37,'Assumptions'!$E$36,0)</x:f>
        <x:v>0</x:v>
      </x:c>
      <x:c r="Y49" s="135" t="n">
        <x:f>IF(24='Assumptions'!$E$37,'Assumptions'!$E$36,0)</x:f>
        <x:v>0</x:v>
      </x:c>
      <x:c r="Z49" s="135" t="n">
        <x:f>IF(25='Assumptions'!$E$37,'Assumptions'!$E$36,0)</x:f>
        <x:v>0</x:v>
      </x:c>
      <x:c r="AA49" s="135" t="n">
        <x:f>IF(26='Assumptions'!$E$37,'Assumptions'!$E$36,0)</x:f>
        <x:v>0</x:v>
      </x:c>
      <x:c r="AB49" s="135" t="n">
        <x:f>IF(27='Assumptions'!$E$37,'Assumptions'!$E$36,0)</x:f>
        <x:v>0</x:v>
      </x:c>
      <x:c r="AC49" s="135" t="n">
        <x:f>IF(28='Assumptions'!$E$37,'Assumptions'!$E$36,0)</x:f>
        <x:v>0</x:v>
      </x:c>
      <x:c r="AD49" s="135" t="n">
        <x:f>IF(29='Assumptions'!$E$37,'Assumptions'!$E$36,0)</x:f>
        <x:v>0</x:v>
      </x:c>
      <x:c r="AE49" s="135" t="n">
        <x:f>IF(30='Assumptions'!$E$37,'Assumptions'!$E$36,0)</x:f>
        <x:v>0</x:v>
      </x:c>
      <x:c r="AF49" s="135" t="n">
        <x:f>IF(31='Assumptions'!$E$37,'Assumptions'!$E$36,0)</x:f>
        <x:v>0</x:v>
      </x:c>
      <x:c r="AG49" s="135" t="n">
        <x:f>IF(32='Assumptions'!$E$37,'Assumptions'!$E$36,0)</x:f>
        <x:v>0</x:v>
      </x:c>
      <x:c r="AH49" s="135" t="n">
        <x:f>IF(33='Assumptions'!$E$37,'Assumptions'!$E$36,0)</x:f>
        <x:v>0</x:v>
      </x:c>
      <x:c r="AI49" s="135" t="n">
        <x:f>IF(34='Assumptions'!$E$37,'Assumptions'!$E$36,0)</x:f>
        <x:v>0</x:v>
      </x:c>
      <x:c r="AJ49" s="135" t="n">
        <x:f>IF(35='Assumptions'!$E$37,'Assumptions'!$E$36,0)</x:f>
        <x:v>0</x:v>
      </x:c>
      <x:c r="AK49" s="135" t="n">
        <x:f>IF(36='Assumptions'!$E$37,'Assumptions'!$E$36,0)</x:f>
        <x:v>0</x:v>
      </x:c>
    </x:row>
    <x:row r="50">
      <x:c r="A50" s="134" t="str">
        <x:v>Ending cash</x:v>
      </x:c>
      <x:c r="B50" s="135" t="n">
        <x:f>'Assumptions'!$E$35+B48+B49</x:f>
        <x:v>69547.569</x:v>
      </x:c>
      <x:c r="C50" s="135" t="n">
        <x:f>B50+C48+C49</x:f>
        <x:v>65663.67942</x:v>
      </x:c>
      <x:c r="D50" s="135" t="n">
        <x:f>C50+D48+D49</x:f>
        <x:v>63544.6161228</x:v>
      </x:c>
      <x:c r="E50" s="135" t="n">
        <x:f>D50+E48+E49</x:f>
        <x:v>58418.635038759996</x:v>
      </x:c>
      <x:c r="F50" s="135" t="n">
        <x:f>E50+F48+F49</x:f>
        <x:v>55551.02231138624</x:v>
      </x:c>
      <x:c r="G50" s="135" t="n">
        <x:f>F50+G48+G49</x:f>
        <x:v>55249.983470505016</x:v>
      </x:c>
      <x:c r="H50" s="135" t="n">
        <x:f>G50+H48+H49</x:f>
        <x:v>54373.50166311721</x:v>
      </x:c>
      <x:c r="I50" s="135" t="n">
        <x:f>H50+I48+I49</x:f>
        <x:v>56837.32772753846</x:v>
      </x:c>
      <x:c r="J50" s="135" t="n">
        <x:f>I50+J48+J49</x:f>
        <x:v>63124.292772060944</x:v>
      </x:c>
      <x:c r="K50" s="135" t="n">
        <x:f>J50+K48+K49</x:f>
        <x:v>323795.166637789</x:v>
      </x:c>
      <x:c r="L50" s="135" t="n">
        <x:f>K50+L48+L49</x:f>
        <x:v>339501.32403695135</x:v>
      </x:c>
      <x:c r="M50" s="135" t="n">
        <x:f>L50+M48+M49</x:f>
        <x:v>360999.5252638288</x:v>
      </x:c>
      <x:c r="N50" s="135" t="n">
        <x:f>M50+N48+N49</x:f>
        <x:v>389169.1713536953</x:v>
      </x:c>
      <x:c r="O50" s="135" t="n">
        <x:f>N50+O48+O49</x:f>
        <x:v>425032.45580293227</x:v>
      </x:c>
      <x:c r="P50" s="135" t="n">
        <x:f>O50+P48+P49</x:f>
        <x:v>469777.9080938734</x:v>
      </x:c>
      <x:c r="Q50" s="135" t="n">
        <x:f>P50+Q48+Q49</x:f>
        <x:v>524787.9102139905</x:v>
      </x:c>
      <x:c r="R50" s="135" t="n">
        <x:f>Q50+R48+R49</x:f>
        <x:v>591670.8683853613</x:v>
      </x:c>
      <x:c r="S50" s="135" t="n">
        <x:f>R50+S48+S49</x:f>
        <x:v>672298.8409941001</x:v>
      </x:c>
      <x:c r="T50" s="135" t="n">
        <x:f>S50+T48+T49</x:f>
        <x:v>768851.5633720804</x:v>
      </x:c>
      <x:c r="U50" s="135" t="n">
        <x:f>T50+U48+U49</x:f>
        <x:v>883867.9743353956</x:v>
      </x:c>
      <x:c r="V50" s="135" t="n">
        <x:f>U50+V48+V49</x:f>
        <x:v>1020306.5425850425</x:v>
      </x:c>
      <x:c r="W50" s="135" t="n">
        <x:f>V50+W48+W49</x:f>
        <x:v>1181615.9183614021</x:v>
      </x:c>
      <x:c r="X50" s="135" t="n">
        <x:f>W50+X48+X49</x:f>
        <x:v>1371817.703166799</x:v>
      </x:c>
      <x:c r="Y50" s="135" t="n">
        <x:f>X50+Y48+Y49</x:f>
        <x:v>1595603.4450605174</x:v>
      </x:c>
      <x:c r="Z50" s="135" t="n">
        <x:f>Y50+Z48+Z49</x:f>
        <x:v>1858448.337391075</x:v>
      </x:c>
      <x:c r="AA50" s="135" t="n">
        <x:f>Z50+AA48+AA49</x:f>
        <x:v>2166744.5347640943</x:v>
      </x:c>
      <x:c r="AB50" s="135" t="n">
        <x:f>AA50+AB48+AB49</x:f>
        <x:v>2527957.513221802</x:v>
      </x:c>
      <x:c r="AC50" s="135" t="n">
        <x:f>AB50+AC48+AC49</x:f>
        <x:v>2950809.505787923</x:v>
      </x:c>
      <x:c r="AD50" s="135" t="n">
        <x:f>AC50+AD48+AD49</x:f>
        <x:v>3445494.755923542</x:v>
      </x:c>
      <x:c r="AE50" s="135" t="n">
        <x:f>AD50+AE48+AE49</x:f>
        <x:v>4023932.169158012</x:v>
      </x:c>
      <x:c r="AF50" s="135" t="n">
        <x:f>AE50+AF48+AF49</x:f>
        <x:v>4700061.92973449</x:v>
      </x:c>
      <x:c r="AG50" s="135" t="n">
        <x:f>AF50+AG48+AG49</x:f>
        <x:v>5490193.811102958</x:v>
      </x:c>
      <x:c r="AH50" s="135" t="n">
        <x:f>AG50+AH48+AH49</x:f>
        <x:v>6413416.277818043</x:v>
      </x:c>
      <x:c r="AI50" s="135" t="n">
        <x:f>AH50+AI48+AI49</x:f>
        <x:v>7492077.088772863</x:v>
      </x:c>
      <x:c r="AJ50" s="135" t="n">
        <x:f>AI50+AJ48+AJ49</x:f>
        <x:v>8752348.011251835</x:v>
      </x:c>
      <x:c r="AK50" s="135" t="n">
        <x:f>AJ50+AK48+AK49</x:f>
        <x:v>10224888.49333831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34" customHeight="1">
      <x:c r="A1" s="241" t="str">
        <x:v>Model Checks</x:v>
      </x:c>
      <x:c r="B1" s="241" t="str">
        <x:v>Model Checks</x:v>
      </x:c>
      <x:c r="C1" s="241" t="str">
        <x:v>Model Checks</x:v>
      </x:c>
      <x:c r="D1" s="241" t="str">
        <x:v>Model Checks</x:v>
      </x:c>
      <x:c r="E1" s="241" t="str">
        <x:v>Model Checks</x:v>
      </x:c>
      <x:c r="F1" s="241" t="str">
        <x:v>Model Checks</x:v>
      </x:c>
      <x:c r="G1" s="241" t="str">
        <x:v>Model Checks</x:v>
      </x:c>
    </x:row>
    <x:row r="2" ht="26" customHeight="1">
      <x:c r="A2" s="110" t="str">
        <x:v>Each check should show OK. Failures identify where to review assumptions or formulas.</x:v>
      </x:c>
      <x:c r="B2" s="110" t="str">
        <x:v>Each check should show OK. Failures identify where to review assumptions or formulas.</x:v>
      </x:c>
      <x:c r="C2" s="110" t="str">
        <x:v>Each check should show OK. Failures identify where to review assumptions or formulas.</x:v>
      </x:c>
      <x:c r="D2" s="110" t="str">
        <x:v>Each check should show OK. Failures identify where to review assumptions or formulas.</x:v>
      </x:c>
      <x:c r="E2" s="110" t="str">
        <x:v>Each check should show OK. Failures identify where to review assumptions or formulas.</x:v>
      </x:c>
      <x:c r="F2" s="110" t="str">
        <x:v>Each check should show OK. Failures identify where to review assumptions or formulas.</x:v>
      </x:c>
      <x:c r="G2" s="110" t="str">
        <x:v>Each check should show OK. Failures identify where to review assumptions or formulas.</x:v>
      </x:c>
    </x:row>
    <x:row r="3">
      <x:c r="A3" s="232" t="str">
        <x:v>MODEL STATUS</x:v>
      </x:c>
      <x:c r="B3" s="233" t="str">
        <x:f>IF(COUNTIF(F6:F11,"OK")=6,"PASS","FAIL")</x:f>
        <x:v>PASS</x:v>
      </x:c>
      <x:c r="C3" s="134"/>
      <x:c r="D3" s="134"/>
      <x:c r="E3" s="134"/>
      <x:c r="F3" s="134"/>
      <x:c r="G3" s="134"/>
    </x:row>
    <x:row r="4">
      <x:c r="A4" s="134"/>
      <x:c r="B4" s="134"/>
      <x:c r="C4" s="134"/>
      <x:c r="D4" s="134"/>
      <x:c r="E4" s="134"/>
      <x:c r="F4" s="134"/>
      <x:c r="G4" s="134"/>
    </x:row>
    <x:row r="5">
      <x:c r="A5" s="149" t="str">
        <x:v>Check</x:v>
      </x:c>
      <x:c r="B5" s="149" t="str">
        <x:v>Actual</x:v>
      </x:c>
      <x:c r="C5" s="149" t="str">
        <x:v>Expected</x:v>
      </x:c>
      <x:c r="D5" s="149" t="str">
        <x:v>Difference</x:v>
      </x:c>
      <x:c r="E5" s="149" t="str">
        <x:v>Tolerance</x:v>
      </x:c>
      <x:c r="F5" s="149" t="str">
        <x:v>Status</x:v>
      </x:c>
      <x:c r="G5" s="149" t="str">
        <x:v>Where to fix / notes</x:v>
      </x:c>
    </x:row>
    <x:row r="6">
      <x:c r="A6" s="134" t="str">
        <x:v>Revenue equals B2C + B2B</x:v>
      </x:c>
      <x:c r="B6" s="234" t="n">
        <x:f>ABS(SUM('Forecast'!B32:AK32)-SUM('Forecast'!B30:AK30)-SUM('Forecast'!B31:AK31))</x:f>
        <x:v>5.820766091346741e-11</x:v>
      </x:c>
      <x:c r="C6" s="234" t="n">
        <x:v>0</x:v>
      </x:c>
      <x:c r="D6" s="234" t="n">
        <x:f>B6-C6</x:f>
        <x:v>5.820766091346741e-11</x:v>
      </x:c>
      <x:c r="E6" s="234" t="n">
        <x:v>0.01</x:v>
      </x:c>
      <x:c r="F6" s="134" t="str">
        <x:f>IF(ABS(D6)&lt;=E6,"OK","FAIL")</x:f>
        <x:v>OK</x:v>
      </x:c>
      <x:c r="G6" s="134" t="str">
        <x:v>Forecast rows 30–32</x:v>
      </x:c>
    </x:row>
    <x:row r="7">
      <x:c r="A7" s="134" t="str">
        <x:v>Gross profit equals revenue less COGS</x:v>
      </x:c>
      <x:c r="B7" s="234" t="n">
        <x:f>ABS(SUM('Forecast'!B45:AK45)-SUM('Forecast'!B32:AK32)+SUM('Forecast'!B44:AK44))</x:f>
        <x:v>2.764863893389702e-10</x:v>
      </x:c>
      <x:c r="C7" s="234" t="n">
        <x:v>0</x:v>
      </x:c>
      <x:c r="D7" s="234" t="n">
        <x:f>B7-C7</x:f>
        <x:v>2.764863893389702e-10</x:v>
      </x:c>
      <x:c r="E7" s="234" t="n">
        <x:v>0.01</x:v>
      </x:c>
      <x:c r="F7" s="134" t="str">
        <x:f>IF(ABS(D7)&lt;=E7,"OK","FAIL")</x:f>
        <x:v>OK</x:v>
      </x:c>
      <x:c r="G7" s="134" t="str">
        <x:v>Forecast rows 32, 44–45</x:v>
      </x:c>
    </x:row>
    <x:row r="8">
      <x:c r="A8" s="134" t="str">
        <x:v>Operating profit ties</x:v>
      </x:c>
      <x:c r="B8" s="234" t="n">
        <x:f>ABS(SUM('Forecast'!B56:AK56)-SUM('Forecast'!B45:AK45)+SUM('Forecast'!B55:AK55))</x:f>
        <x:v>1.7462298274040222e-10</x:v>
      </x:c>
      <x:c r="C8" s="234" t="n">
        <x:v>0</x:v>
      </x:c>
      <x:c r="D8" s="234" t="n">
        <x:f>B8-C8</x:f>
        <x:v>1.7462298274040222e-10</x:v>
      </x:c>
      <x:c r="E8" s="234" t="n">
        <x:v>0.01</x:v>
      </x:c>
      <x:c r="F8" s="134" t="str">
        <x:f>IF(ABS(D8)&lt;=E8,"OK","FAIL")</x:f>
        <x:v>OK</x:v>
      </x:c>
      <x:c r="G8" s="134" t="str">
        <x:v>Forecast rows 45, 55–56</x:v>
      </x:c>
    </x:row>
    <x:row r="9">
      <x:c r="A9" s="134" t="str">
        <x:v>Cash roll-forward ties</x:v>
      </x:c>
      <x:c r="B9" s="234" t="n">
        <x:f>ABS('Forecast'!AK62-'Assumptions'!F35-SUM('Forecast'!B60:AK60)-SUM('Forecast'!B61:AK61))</x:f>
        <x:v>1.1641532182693481e-10</x:v>
      </x:c>
      <x:c r="C9" s="234" t="n">
        <x:v>0</x:v>
      </x:c>
      <x:c r="D9" s="234" t="n">
        <x:f>B9-C9</x:f>
        <x:v>1.1641532182693481e-10</x:v>
      </x:c>
      <x:c r="E9" s="234" t="n">
        <x:v>0.01</x:v>
      </x:c>
      <x:c r="F9" s="134" t="str">
        <x:f>IF(ABS(D9)&lt;=E9,"OK","FAIL")</x:f>
        <x:v>OK</x:v>
      </x:c>
      <x:c r="G9" s="134" t="str">
        <x:v>Forecast rows 59–62</x:v>
      </x:c>
    </x:row>
    <x:row r="10">
      <x:c r="A10" s="134" t="str">
        <x:v>Gross margin stays between 0% and 100%</x:v>
      </x:c>
      <x:c r="B10" s="234" t="n">
        <x:f>MIN('Forecast'!B46:AK46)</x:f>
        <x:v>0.8905011337868481</x:v>
      </x:c>
      <x:c r="C10" s="234" t="n">
        <x:v>0</x:v>
      </x:c>
      <x:c r="D10" s="234" t="n">
        <x:f>IF(AND(B10&gt;=C10,B10&lt;=E10),0,1)</x:f>
        <x:v>0</x:v>
      </x:c>
      <x:c r="E10" s="234" t="n">
        <x:v>1</x:v>
      </x:c>
      <x:c r="F10" s="134" t="str">
        <x:f>IF(D10=0,"OK","FAIL")</x:f>
        <x:v>OK</x:v>
      </x:c>
      <x:c r="G10" s="134" t="str">
        <x:v>Assumptions: pricing and usage costs</x:v>
      </x:c>
    </x:row>
    <x:row r="11">
      <x:c r="A11" s="134" t="str">
        <x:v>Selected scenario is valid</x:v>
      </x:c>
      <x:c r="B11" s="234" t="n">
        <x:f>COUNTIF('Assumptions'!B4,"Conservative")+COUNTIF('Assumptions'!B4,"Base")+COUNTIF('Assumptions'!B4,"Upside")</x:f>
        <x:v>1</x:v>
      </x:c>
      <x:c r="C11" s="234" t="n">
        <x:v>1</x:v>
      </x:c>
      <x:c r="D11" s="234" t="n">
        <x:f>B11-C11</x:f>
        <x:v>0</x:v>
      </x:c>
      <x:c r="E11" s="234" t="n">
        <x:v>0</x:v>
      </x:c>
      <x:c r="F11" s="134" t="str">
        <x:f>IF(ABS(D11)&lt;=E11,"OK","FAIL")</x:f>
        <x:v>OK</x:v>
      </x:c>
      <x:c r="G11" s="134" t="str">
        <x:v>Assumptions!B4</x:v>
      </x:c>
    </x:row>
  </x:sheetData>
  <x:mergeCells>
    <x:mergeCell ref="A1:G1"/>
    <x:mergeCell ref="A2:G2"/>
  </x:mergeCells>
  <x:conditionalFormatting sqref="F6:F11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16" hidden="0" customWidth="1"/>
    <x:col min="8" max="8" width="54" hidden="0" customWidth="1"/>
  </x:cols>
  <x:sheetData>
    <x:row r="1" ht="34" customHeight="1">
      <x:c r="A1" s="241" t="str">
        <x:v>Sources &amp; Model Notes</x:v>
      </x:c>
      <x:c r="B1" s="241" t="str">
        <x:v>Sources &amp; Model Notes</x:v>
      </x:c>
      <x:c r="C1" s="241" t="str">
        <x:v>Sources &amp; Model Notes</x:v>
      </x:c>
      <x:c r="D1" s="241" t="str">
        <x:v>Sources &amp; Model Notes</x:v>
      </x:c>
      <x:c r="E1" s="241" t="str">
        <x:v>Sources &amp; Model Notes</x:v>
      </x:c>
      <x:c r="F1" s="241" t="str">
        <x:v>Sources &amp; Model Notes</x:v>
      </x:c>
      <x:c r="G1" s="241" t="str">
        <x:v>Sources &amp; Model Notes</x:v>
      </x:c>
      <x:c r="H1" s="241" t="str">
        <x:v>Sources &amp; Model Notes</x:v>
      </x:c>
    </x:row>
    <x:row r="2" ht="26" customHeight="1">
      <x:c r="A2" s="110" t="str">
        <x:v>The current workbook uses internal planning assumptions because no historical operating data was provided.</x:v>
      </x:c>
      <x:c r="B2" s="110" t="str">
        <x:v>The current workbook uses internal planning assumptions because no historical operating data was provided.</x:v>
      </x:c>
      <x:c r="C2" s="110" t="str">
        <x:v>The current workbook uses internal planning assumptions because no historical operating data was provided.</x:v>
      </x:c>
      <x:c r="D2" s="110" t="str">
        <x:v>The current workbook uses internal planning assumptions because no historical operating data was provided.</x:v>
      </x:c>
      <x:c r="E2" s="110" t="str">
        <x:v>The current workbook uses internal planning assumptions because no historical operating data was provided.</x:v>
      </x:c>
      <x:c r="F2" s="110" t="str">
        <x:v>The current workbook uses internal planning assumptions because no historical operating data was provided.</x:v>
      </x:c>
      <x:c r="G2" s="110" t="str">
        <x:v>The current workbook uses internal planning assumptions because no historical operating data was provided.</x:v>
      </x:c>
      <x:c r="H2" s="110" t="str">
        <x:v>The current workbook uses internal planning assumptions because no historical operating data was provided.</x:v>
      </x:c>
    </x:row>
    <x:row r="3">
      <x:c r="A3" s="134"/>
      <x:c r="B3" s="134"/>
      <x:c r="C3" s="134"/>
      <x:c r="D3" s="134"/>
      <x:c r="E3" s="134"/>
      <x:c r="F3" s="134"/>
      <x:c r="G3" s="134"/>
      <x:c r="H3" s="134"/>
    </x:row>
    <x:row r="4">
      <x:c r="A4" s="149" t="str">
        <x:v>Item</x:v>
      </x:c>
      <x:c r="B4" s="149" t="str">
        <x:v>Value</x:v>
      </x:c>
      <x:c r="C4" s="149" t="str">
        <x:v>Units</x:v>
      </x:c>
      <x:c r="D4" s="149" t="str">
        <x:v>As of</x:v>
      </x:c>
      <x:c r="E4" s="149" t="str">
        <x:v>Source type</x:v>
      </x:c>
      <x:c r="F4" s="149" t="str">
        <x:v>Source / reference</x:v>
      </x:c>
      <x:c r="G4" s="149" t="str">
        <x:v>Owner</x:v>
      </x:c>
      <x:c r="H4" s="149" t="str">
        <x:v>Notes</x:v>
      </x:c>
    </x:row>
    <x:row r="5">
      <x:c r="A5" s="238" t="str">
        <x:v>Product definition</x:v>
      </x:c>
      <x:c r="B5" s="238" t="str">
        <x:v>AI investor-style pitch practice</x:v>
      </x:c>
      <x:c r="C5" s="238" t="str">
        <x:v>n/a</x:v>
      </x:c>
      <x:c r="D5" s="239" t="str">
        <x:v>2026-07-13</x:v>
      </x:c>
      <x:c r="E5" s="238" t="str">
        <x:v>Project documentation</x:v>
      </x:c>
      <x:c r="F5" s="238" t="str">
        <x:v>Local README.md and application copy</x:v>
      </x:c>
      <x:c r="G5" s="238" t="str">
        <x:v>Founder</x:v>
      </x:c>
      <x:c r="H5" s="238" t="str">
        <x:v>Upload a pitch and deck; receive scores, questions, valuation framing, and next milestones.</x:v>
      </x:c>
    </x:row>
    <x:row r="6">
      <x:c r="A6" s="238" t="str">
        <x:v>Revenue model</x:v>
      </x:c>
      <x:c r="B6" s="238" t="str">
        <x:v>B2C subscription + B2B program account</x:v>
      </x:c>
      <x:c r="C6" s="238" t="str">
        <x:v>n/a</x:v>
      </x:c>
      <x:c r="D6" s="239" t="str">
        <x:v>2026-07-13</x:v>
      </x:c>
      <x:c r="E6" s="238" t="str">
        <x:v>Planning assumption</x:v>
      </x:c>
      <x:c r="F6" s="238" t="str">
        <x:v>Internal model design</x:v>
      </x:c>
      <x:c r="G6" s="238" t="str">
        <x:v>Founder</x:v>
      </x:c>
      <x:c r="H6" s="238" t="str">
        <x:v>Designed to test both founder self-serve and accelerator/university partnership channels.</x:v>
      </x:c>
    </x:row>
    <x:row r="7">
      <x:c r="A7" s="238" t="str">
        <x:v>Acquisition assumptions</x:v>
      </x:c>
      <x:c r="B7" s="238" t="str">
        <x:v>Scenario-specific</x:v>
      </x:c>
      <x:c r="C7" s="238" t="str">
        <x:v>monthly</x:v>
      </x:c>
      <x:c r="D7" s="239" t="str">
        <x:v>2026-07-13</x:v>
      </x:c>
      <x:c r="E7" s="238" t="str">
        <x:v>Planning assumption</x:v>
      </x:c>
      <x:c r="F7" s="238" t="str">
        <x:v>Assumptions sheet</x:v>
      </x:c>
      <x:c r="G7" s="238" t="str">
        <x:v>Founder</x:v>
      </x:c>
      <x:c r="H7" s="238" t="str">
        <x:v>Replace with website, signup, conversion, and churn data after beta launch.</x:v>
      </x:c>
    </x:row>
    <x:row r="8">
      <x:c r="A8" s="238" t="str">
        <x:v>Pricing assumptions</x:v>
      </x:c>
      <x:c r="B8" s="238" t="str">
        <x:v>Scenario-specific</x:v>
      </x:c>
      <x:c r="C8" s="238" t="str">
        <x:v>USD/month</x:v>
      </x:c>
      <x:c r="D8" s="239" t="str">
        <x:v>2026-07-13</x:v>
      </x:c>
      <x:c r="E8" s="238" t="str">
        <x:v>Planning assumption</x:v>
      </x:c>
      <x:c r="F8" s="238" t="str">
        <x:v>Assumptions sheet</x:v>
      </x:c>
      <x:c r="G8" s="238" t="str">
        <x:v>Founder</x:v>
      </x:c>
      <x:c r="H8" s="238" t="str">
        <x:v>Test willingness to pay before treating these as targets.</x:v>
      </x:c>
    </x:row>
    <x:row r="9">
      <x:c r="A9" s="238" t="str">
        <x:v>AI and infrastructure costs</x:v>
      </x:c>
      <x:c r="B9" s="238" t="str">
        <x:v>Scenario-specific</x:v>
      </x:c>
      <x:c r="C9" s="238" t="str">
        <x:v>USD/usage</x:v>
      </x:c>
      <x:c r="D9" s="239" t="str">
        <x:v>2026-07-13</x:v>
      </x:c>
      <x:c r="E9" s="238" t="str">
        <x:v>Planning assumption</x:v>
      </x:c>
      <x:c r="F9" s="238" t="str">
        <x:v>Assumptions sheet</x:v>
      </x:c>
      <x:c r="G9" s="238" t="str">
        <x:v>Founder</x:v>
      </x:c>
      <x:c r="H9" s="238" t="str">
        <x:v>Update using actual OpenAI, storage, hosting, and payment processor invoices.</x:v>
      </x:c>
    </x:row>
    <x:row r="10">
      <x:c r="A10" s="238" t="str">
        <x:v>Operating expenses</x:v>
      </x:c>
      <x:c r="B10" s="238" t="str">
        <x:v>Scenario-specific</x:v>
      </x:c>
      <x:c r="C10" s="238" t="str">
        <x:v>USD/month</x:v>
      </x:c>
      <x:c r="D10" s="239" t="str">
        <x:v>2026-07-13</x:v>
      </x:c>
      <x:c r="E10" s="238" t="str">
        <x:v>Planning assumption</x:v>
      </x:c>
      <x:c r="F10" s="238" t="str">
        <x:v>Assumptions sheet</x:v>
      </x:c>
      <x:c r="G10" s="238" t="str">
        <x:v>Founder</x:v>
      </x:c>
      <x:c r="H10" s="238" t="str">
        <x:v>Founder payroll and support hiring are controlled by start-month assumptions.</x:v>
      </x:c>
    </x:row>
    <x:row r="11">
      <x:c r="A11" s="238" t="str">
        <x:v>Forecast period</x:v>
      </x:c>
      <x:c r="B11" s="238" t="str">
        <x:v>Aug 2026–Jul 2029</x:v>
      </x:c>
      <x:c r="C11" s="238" t="str">
        <x:v>36 months</x:v>
      </x:c>
      <x:c r="D11" s="239" t="str">
        <x:v>2026-07-13</x:v>
      </x:c>
      <x:c r="E11" s="238" t="str">
        <x:v>Model convention</x:v>
      </x:c>
      <x:c r="F11" s="238" t="str">
        <x:v>Forecast sheet</x:v>
      </x:c>
      <x:c r="G11" s="238" t="str">
        <x:v>Founder</x:v>
      </x:c>
      <x:c r="H11" s="238" t="str">
        <x:v>Monthly model, USD, no taxes, debt, depreciation, or working capital assumed at MVP stage.</x:v>
      </x:c>
    </x:row>
    <x:row r="12">
      <x:c r="A12" s="134"/>
      <x:c r="B12" s="134"/>
      <x:c r="C12" s="134"/>
      <x:c r="D12" s="134"/>
      <x:c r="E12" s="134"/>
      <x:c r="F12" s="134"/>
      <x:c r="G12" s="134"/>
      <x:c r="H12" s="134"/>
    </x:row>
    <x:row r="13">
      <x:c r="A13" s="240" t="str">
        <x:v>Important: This is a planning model, not a valuation or financial forecast based on historical evidence.</x:v>
      </x:c>
      <x:c r="B13" s="240"/>
      <x:c r="C13" s="240"/>
      <x:c r="D13" s="240"/>
      <x:c r="E13" s="240"/>
      <x:c r="F13" s="240"/>
      <x:c r="G13" s="240"/>
      <x:c r="H13" s="240"/>
    </x:row>
    <x:row r="14">
      <x:c r="A14" s="240" t="str">
        <x:v>Update the blue assumption cells as beta data arrives. Prioritize conversion, churn, reports per account, AI cost per report, and willingness to pay.</x:v>
      </x:c>
      <x:c r="B14" s="240"/>
      <x:c r="C14" s="240"/>
      <x:c r="D14" s="240"/>
      <x:c r="E14" s="240"/>
      <x:c r="F14" s="240"/>
      <x:c r="G14" s="240"/>
      <x:c r="H14" s="240"/>
    </x:row>
    <x:row r="15">
      <x:c r="A15" s="240" t="str">
        <x:v>Taxes, capitalized software, working capital, debt, and depreciation are intentionally excluded for an early MVP cash-planning view.</x:v>
      </x:c>
      <x:c r="B15" s="240"/>
      <x:c r="C15" s="240"/>
      <x:c r="D15" s="240"/>
      <x:c r="E15" s="240"/>
      <x:c r="F15" s="240"/>
      <x:c r="G15" s="240"/>
      <x:c r="H15" s="240"/>
    </x:row>
  </x:sheetData>
  <x:mergeCells>
    <x:mergeCell ref="A1:H1"/>
    <x:mergeCell ref="A2:H2"/>
    <x:mergeCell ref="A13:H13"/>
    <x:mergeCell ref="A14:H14"/>
    <x:mergeCell ref="A15:H15"/>
  </x:mergeCells>
  <x:pageMargins left="0.7" right="0.7" top="0.75" bottom="0.75" header="0.3" footer="0.3"/>
</x:worksheet>
</file>